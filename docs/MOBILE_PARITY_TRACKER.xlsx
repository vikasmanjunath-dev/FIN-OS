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arity Tracker" sheetId="2" state="visible" r:id="rId2"/>
    <sheet xmlns:r="http://schemas.openxmlformats.org/officeDocument/2006/relationships" name="Build order" sheetId="3" state="visible" r:id="rId3"/>
    <sheet xmlns:r="http://schemas.openxmlformats.org/officeDocument/2006/relationships" name="Build log" sheetId="4" state="visible" r:id="rId4"/>
    <sheet xmlns:r="http://schemas.openxmlformats.org/officeDocument/2006/relationships" name="Legend" sheetId="5" state="visible" r:id="rId5"/>
  </sheets>
  <definedNames>
    <definedName name="_xlnm._FilterDatabase" localSheetId="1" hidden="1">'Parity Tracker'!$A$1:$K$255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55555"/>
      <sz val="9"/>
    </font>
    <font>
      <name val="Arial"/>
      <charset val="1"/>
      <family val="0"/>
      <b val="1"/>
      <color rgb="FFFFFFFF"/>
      <sz val="10"/>
    </font>
    <font>
      <name val="Arial"/>
      <charset val="1"/>
      <family val="0"/>
      <sz val="10"/>
    </font>
    <font>
      <name val="Arial"/>
      <charset val="1"/>
      <family val="0"/>
      <b val="1"/>
      <sz val="10"/>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8" fillId="0" borderId="1" applyAlignment="1" pivotButton="0" quotePrefix="0" xfId="0">
      <alignment horizontal="general" vertical="bottom"/>
    </xf>
    <xf numFmtId="0" fontId="8" fillId="0" borderId="1" applyAlignment="1" pivotButton="0" quotePrefix="0" xfId="0">
      <alignment horizontal="center" vertical="bottom"/>
    </xf>
    <xf numFmtId="9" fontId="8" fillId="0" borderId="1" applyAlignment="1" pivotButton="0" quotePrefix="0" xfId="0">
      <alignment horizontal="center" vertical="bottom"/>
    </xf>
    <xf numFmtId="0" fontId="9" fillId="0" borderId="0" applyAlignment="1" pivotButton="0" quotePrefix="0" xfId="0">
      <alignment horizontal="general" vertical="bottom"/>
    </xf>
    <xf numFmtId="0" fontId="6" fillId="2" borderId="1" applyAlignment="1" pivotButton="0" quotePrefix="0" xfId="0">
      <alignment horizontal="general" vertical="bottom" wrapText="1"/>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6"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8" fillId="0" borderId="1" applyAlignment="1" pivotButton="0" quotePrefix="0" xfId="0">
      <alignment horizontal="general" vertical="bottom"/>
    </xf>
    <xf numFmtId="0" fontId="8" fillId="0" borderId="1" applyAlignment="1" pivotButton="0" quotePrefix="0" xfId="0">
      <alignment horizontal="center" vertical="bottom"/>
    </xf>
    <xf numFmtId="9" fontId="8" fillId="0" borderId="1" applyAlignment="1" pivotButton="0" quotePrefix="0" xfId="0">
      <alignment horizontal="center" vertical="bottom"/>
    </xf>
    <xf numFmtId="0" fontId="9" fillId="0" borderId="0" applyAlignment="1" pivotButton="0" quotePrefix="0" xfId="0">
      <alignment horizontal="general" vertical="bottom"/>
    </xf>
    <xf numFmtId="0" fontId="6" fillId="2" borderId="1" applyAlignment="1" pivotButton="0" quotePrefix="0" xfId="0">
      <alignment horizontal="general" vertical="bottom" wrapText="1"/>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6"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9B3FF"/>
          <bgColor rgb="FF000000"/>
        </patternFill>
      </fill>
    </dxf>
    <dxf>
      <fill>
        <patternFill patternType="solid">
          <fgColor rgb="FFE7E6E6"/>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ill>
        <patternFill>
          <bgColor rgb="FFD9B3FF"/>
        </patternFill>
      </fill>
    </dxf>
    <dxf>
      <fill>
        <patternFill>
          <bgColor rgb="FFE7E6E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7E6E6"/>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D9B3FF"/>
      <rgbColor rgb="FFF8CBAD"/>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0" customWidth="1" style="16" min="1" max="1"/>
    <col width="13" customWidth="1" style="16" min="2" max="2"/>
    <col width="16" customWidth="1" style="16" min="3" max="3"/>
    <col width="13" customWidth="1" style="16" min="4" max="7"/>
    <col width="20" customWidth="1" style="16" min="8" max="8"/>
  </cols>
  <sheetData>
    <row r="1" ht="17.25" customHeight="1" s="17">
      <c r="A1" s="18" t="inlineStr">
        <is>
          <t>FIN·OS phone app — parity with the website</t>
        </is>
      </c>
    </row>
    <row r="2" ht="15" customHeight="1" s="17">
      <c r="A2" s="19" t="inlineStr">
        <is>
          <t>Source of truth: the 'Parity Tracker' sheet. Counts below are formulas. All rows audited against the code and the agent notes on 2026-10-17 (final integration). Nothing is marked as verified on a device: every status rests on the Expo web preview and unit tests.</t>
        </is>
      </c>
    </row>
    <row r="3"/>
    <row r="4" ht="15" customHeight="1" s="17">
      <c r="A4" s="20" t="inlineStr">
        <is>
          <t>Area</t>
        </is>
      </c>
      <c r="B4" s="20" t="inlineStr">
        <is>
          <t>Done</t>
        </is>
      </c>
      <c r="C4" s="20" t="inlineStr">
        <is>
          <t>Partial</t>
        </is>
      </c>
      <c r="D4" s="20" t="inlineStr">
        <is>
          <t>Pending</t>
        </is>
      </c>
      <c r="E4" s="20" t="inlineStr">
        <is>
          <t>Blocked</t>
        </is>
      </c>
      <c r="F4" s="20" t="inlineStr">
        <is>
          <t>Not planned</t>
        </is>
      </c>
      <c r="G4" s="20" t="inlineStr">
        <is>
          <t>Total</t>
        </is>
      </c>
      <c r="H4" s="20" t="inlineStr">
        <is>
          <t>% done (of planned)</t>
        </is>
      </c>
    </row>
    <row r="5" ht="15" customHeight="1" s="17">
      <c r="A5" s="21" t="inlineStr">
        <is>
          <t>Trackers &amp; planners</t>
        </is>
      </c>
      <c r="B5" s="22">
        <f>COUNTIFS('Parity Tracker'!$B$2:$B$255,$A5,'Parity Tracker'!$E$2:$E$255,"Done")</f>
        <v/>
      </c>
      <c r="C5" s="22">
        <f>COUNTIFS('Parity Tracker'!$B$2:$B$255,$A5,'Parity Tracker'!$E$2:$E$255,"Partial")</f>
        <v/>
      </c>
      <c r="D5" s="22">
        <f>COUNTIFS('Parity Tracker'!$B$2:$B$255,$A5,'Parity Tracker'!$E$2:$E$255,"Pending")</f>
        <v/>
      </c>
      <c r="E5" s="22">
        <f>COUNTIFS('Parity Tracker'!$B$2:$B$255,$A5,'Parity Tracker'!$E$2:$E$255,"Blocked")</f>
        <v/>
      </c>
      <c r="F5" s="22">
        <f>COUNTIFS('Parity Tracker'!$B$2:$B$255,$A5,'Parity Tracker'!$E$2:$E$255,"Not planned")</f>
        <v/>
      </c>
      <c r="G5" s="22">
        <f>SUM(B5:F5)</f>
        <v/>
      </c>
      <c r="H5" s="23">
        <f>IF((G5-F5)=0,0,(B5+0.5*C5)/(G5-F5))</f>
        <v/>
      </c>
    </row>
    <row r="6" ht="15" customHeight="1" s="17">
      <c r="A6" s="21" t="inlineStr">
        <is>
          <t>Calculators</t>
        </is>
      </c>
      <c r="B6" s="22">
        <f>COUNTIFS('Parity Tracker'!$B$2:$B$255,$A6,'Parity Tracker'!$E$2:$E$255,"Done")</f>
        <v/>
      </c>
      <c r="C6" s="22">
        <f>COUNTIFS('Parity Tracker'!$B$2:$B$255,$A6,'Parity Tracker'!$E$2:$E$255,"Partial")</f>
        <v/>
      </c>
      <c r="D6" s="22">
        <f>COUNTIFS('Parity Tracker'!$B$2:$B$255,$A6,'Parity Tracker'!$E$2:$E$255,"Pending")</f>
        <v/>
      </c>
      <c r="E6" s="22">
        <f>COUNTIFS('Parity Tracker'!$B$2:$B$255,$A6,'Parity Tracker'!$E$2:$E$255,"Blocked")</f>
        <v/>
      </c>
      <c r="F6" s="22">
        <f>COUNTIFS('Parity Tracker'!$B$2:$B$255,$A6,'Parity Tracker'!$E$2:$E$255,"Not planned")</f>
        <v/>
      </c>
      <c r="G6" s="22">
        <f>SUM(B6:F6)</f>
        <v/>
      </c>
      <c r="H6" s="23">
        <f>IF((G6-F6)=0,0,(B6+0.5*C6)/(G6-F6))</f>
        <v/>
      </c>
    </row>
    <row r="7" ht="15" customHeight="1" s="17">
      <c r="A7" s="21" t="inlineStr">
        <is>
          <t>Learning &amp; education</t>
        </is>
      </c>
      <c r="B7" s="22">
        <f>COUNTIFS('Parity Tracker'!$B$2:$B$255,$A7,'Parity Tracker'!$E$2:$E$255,"Done")</f>
        <v/>
      </c>
      <c r="C7" s="22">
        <f>COUNTIFS('Parity Tracker'!$B$2:$B$255,$A7,'Parity Tracker'!$E$2:$E$255,"Partial")</f>
        <v/>
      </c>
      <c r="D7" s="22">
        <f>COUNTIFS('Parity Tracker'!$B$2:$B$255,$A7,'Parity Tracker'!$E$2:$E$255,"Pending")</f>
        <v/>
      </c>
      <c r="E7" s="22">
        <f>COUNTIFS('Parity Tracker'!$B$2:$B$255,$A7,'Parity Tracker'!$E$2:$E$255,"Blocked")</f>
        <v/>
      </c>
      <c r="F7" s="22">
        <f>COUNTIFS('Parity Tracker'!$B$2:$B$255,$A7,'Parity Tracker'!$E$2:$E$255,"Not planned")</f>
        <v/>
      </c>
      <c r="G7" s="22">
        <f>SUM(B7:F7)</f>
        <v/>
      </c>
      <c r="H7" s="23">
        <f>IF((G7-F7)=0,0,(B7+0.5*C7)/(G7-F7))</f>
        <v/>
      </c>
    </row>
    <row r="8" ht="15" customHeight="1" s="17">
      <c r="A8" s="21" t="inlineStr">
        <is>
          <t>Markets &amp; research</t>
        </is>
      </c>
      <c r="B8" s="22">
        <f>COUNTIFS('Parity Tracker'!$B$2:$B$255,$A8,'Parity Tracker'!$E$2:$E$255,"Done")</f>
        <v/>
      </c>
      <c r="C8" s="22">
        <f>COUNTIFS('Parity Tracker'!$B$2:$B$255,$A8,'Parity Tracker'!$E$2:$E$255,"Partial")</f>
        <v/>
      </c>
      <c r="D8" s="22">
        <f>COUNTIFS('Parity Tracker'!$B$2:$B$255,$A8,'Parity Tracker'!$E$2:$E$255,"Pending")</f>
        <v/>
      </c>
      <c r="E8" s="22">
        <f>COUNTIFS('Parity Tracker'!$B$2:$B$255,$A8,'Parity Tracker'!$E$2:$E$255,"Blocked")</f>
        <v/>
      </c>
      <c r="F8" s="22">
        <f>COUNTIFS('Parity Tracker'!$B$2:$B$255,$A8,'Parity Tracker'!$E$2:$E$255,"Not planned")</f>
        <v/>
      </c>
      <c r="G8" s="22">
        <f>SUM(B8:F8)</f>
        <v/>
      </c>
      <c r="H8" s="23">
        <f>IF((G8-F8)=0,0,(B8+0.5*C8)/(G8-F8))</f>
        <v/>
      </c>
    </row>
    <row r="9" ht="15" customHeight="1" s="17">
      <c r="A9" s="21" t="inlineStr">
        <is>
          <t>Portfolio &amp; standalone apps</t>
        </is>
      </c>
      <c r="B9" s="22">
        <f>COUNTIFS('Parity Tracker'!$B$2:$B$255,$A9,'Parity Tracker'!$E$2:$E$255,"Done")</f>
        <v/>
      </c>
      <c r="C9" s="22">
        <f>COUNTIFS('Parity Tracker'!$B$2:$B$255,$A9,'Parity Tracker'!$E$2:$E$255,"Partial")</f>
        <v/>
      </c>
      <c r="D9" s="22">
        <f>COUNTIFS('Parity Tracker'!$B$2:$B$255,$A9,'Parity Tracker'!$E$2:$E$255,"Pending")</f>
        <v/>
      </c>
      <c r="E9" s="22">
        <f>COUNTIFS('Parity Tracker'!$B$2:$B$255,$A9,'Parity Tracker'!$E$2:$E$255,"Blocked")</f>
        <v/>
      </c>
      <c r="F9" s="22">
        <f>COUNTIFS('Parity Tracker'!$B$2:$B$255,$A9,'Parity Tracker'!$E$2:$E$255,"Not planned")</f>
        <v/>
      </c>
      <c r="G9" s="22">
        <f>SUM(B9:F9)</f>
        <v/>
      </c>
      <c r="H9" s="23">
        <f>IF((G9-F9)=0,0,(B9+0.5*C9)/(G9-F9))</f>
        <v/>
      </c>
    </row>
    <row r="10" ht="15" customHeight="1" s="17">
      <c r="A10" s="21" t="inlineStr">
        <is>
          <t>Arya AI</t>
        </is>
      </c>
      <c r="B10" s="22">
        <f>COUNTIFS('Parity Tracker'!$B$2:$B$255,$A10,'Parity Tracker'!$E$2:$E$255,"Done")</f>
        <v/>
      </c>
      <c r="C10" s="22">
        <f>COUNTIFS('Parity Tracker'!$B$2:$B$255,$A10,'Parity Tracker'!$E$2:$E$255,"Partial")</f>
        <v/>
      </c>
      <c r="D10" s="22">
        <f>COUNTIFS('Parity Tracker'!$B$2:$B$255,$A10,'Parity Tracker'!$E$2:$E$255,"Pending")</f>
        <v/>
      </c>
      <c r="E10" s="22">
        <f>COUNTIFS('Parity Tracker'!$B$2:$B$255,$A10,'Parity Tracker'!$E$2:$E$255,"Blocked")</f>
        <v/>
      </c>
      <c r="F10" s="22">
        <f>COUNTIFS('Parity Tracker'!$B$2:$B$255,$A10,'Parity Tracker'!$E$2:$E$255,"Not planned")</f>
        <v/>
      </c>
      <c r="G10" s="22">
        <f>SUM(B10:F10)</f>
        <v/>
      </c>
      <c r="H10" s="23">
        <f>IF((G10-F10)=0,0,(B10+0.5*C10)/(G10-F10))</f>
        <v/>
      </c>
    </row>
    <row r="11" ht="15" customHeight="1" s="17">
      <c r="A11" s="21" t="inlineStr">
        <is>
          <t>Platform &amp; account</t>
        </is>
      </c>
      <c r="B11" s="22">
        <f>COUNTIFS('Parity Tracker'!$B$2:$B$255,$A11,'Parity Tracker'!$E$2:$E$255,"Done")</f>
        <v/>
      </c>
      <c r="C11" s="22">
        <f>COUNTIFS('Parity Tracker'!$B$2:$B$255,$A11,'Parity Tracker'!$E$2:$E$255,"Partial")</f>
        <v/>
      </c>
      <c r="D11" s="22">
        <f>COUNTIFS('Parity Tracker'!$B$2:$B$255,$A11,'Parity Tracker'!$E$2:$E$255,"Pending")</f>
        <v/>
      </c>
      <c r="E11" s="22">
        <f>COUNTIFS('Parity Tracker'!$B$2:$B$255,$A11,'Parity Tracker'!$E$2:$E$255,"Blocked")</f>
        <v/>
      </c>
      <c r="F11" s="22">
        <f>COUNTIFS('Parity Tracker'!$B$2:$B$255,$A11,'Parity Tracker'!$E$2:$E$255,"Not planned")</f>
        <v/>
      </c>
      <c r="G11" s="22">
        <f>SUM(B11:F11)</f>
        <v/>
      </c>
      <c r="H11" s="23">
        <f>IF((G11-F11)=0,0,(B11+0.5*C11)/(G11-F11))</f>
        <v/>
      </c>
    </row>
    <row r="12" ht="15" customHeight="1" s="17">
      <c r="A12" s="21" t="inlineStr">
        <is>
          <t>Release readiness</t>
        </is>
      </c>
      <c r="B12" s="22">
        <f>COUNTIFS('Parity Tracker'!$B$2:$B$255,$A12,'Parity Tracker'!$E$2:$E$255,"Done")</f>
        <v/>
      </c>
      <c r="C12" s="22">
        <f>COUNTIFS('Parity Tracker'!$B$2:$B$255,$A12,'Parity Tracker'!$E$2:$E$255,"Partial")</f>
        <v/>
      </c>
      <c r="D12" s="22">
        <f>COUNTIFS('Parity Tracker'!$B$2:$B$255,$A12,'Parity Tracker'!$E$2:$E$255,"Pending")</f>
        <v/>
      </c>
      <c r="E12" s="22">
        <f>COUNTIFS('Parity Tracker'!$B$2:$B$255,$A12,'Parity Tracker'!$E$2:$E$255,"Blocked")</f>
        <v/>
      </c>
      <c r="F12" s="22">
        <f>COUNTIFS('Parity Tracker'!$B$2:$B$255,$A12,'Parity Tracker'!$E$2:$E$255,"Not planned")</f>
        <v/>
      </c>
      <c r="G12" s="22">
        <f>SUM(B12:F12)</f>
        <v/>
      </c>
      <c r="H12" s="23">
        <f>IF((G12-F12)=0,0,(B12+0.5*C12)/(G12-F12))</f>
        <v/>
      </c>
    </row>
    <row r="13" ht="15" customHeight="1" s="17">
      <c r="A13" s="24" t="inlineStr">
        <is>
          <t>All areas</t>
        </is>
      </c>
      <c r="B13" s="25">
        <f>SUM(B5:B12)</f>
        <v/>
      </c>
      <c r="C13" s="25">
        <f>SUM(C5:C12)</f>
        <v/>
      </c>
      <c r="D13" s="25">
        <f>SUM(D5:D12)</f>
        <v/>
      </c>
      <c r="E13" s="25">
        <f>SUM(E5:E12)</f>
        <v/>
      </c>
      <c r="F13" s="25">
        <f>SUM(F5:F12)</f>
        <v/>
      </c>
      <c r="G13" s="25">
        <f>SUM(G5:G12)</f>
        <v/>
      </c>
      <c r="H13" s="26">
        <f>IF((G13-F13)=0,0,(B13+0.5*C13)/(G13-F13))</f>
        <v/>
      </c>
    </row>
    <row r="15" ht="15" customHeight="1" s="17">
      <c r="A15" s="27" t="inlineStr">
        <is>
          <t>Open work by priority</t>
        </is>
      </c>
    </row>
    <row r="16" ht="45.75" customHeight="1" s="17">
      <c r="A16" s="28" t="inlineStr">
        <is>
          <t>Priority</t>
        </is>
      </c>
      <c r="B16" s="28" t="inlineStr">
        <is>
          <t>Not done yet (Partial + Pending + Blocked)</t>
        </is>
      </c>
      <c r="C16" s="28" t="inlineStr">
        <is>
          <t>Meaning</t>
        </is>
      </c>
    </row>
    <row r="17" ht="15" customHeight="1" s="17">
      <c r="A17" s="21" t="inlineStr">
        <is>
          <t>P0</t>
        </is>
      </c>
      <c r="B17" s="21">
        <f>COUNTIFS('Parity Tracker'!$F$2:$F$255,$A17,'Parity Tracker'!$E$2:$E$255,"Partial")+COUNTIFS('Parity Tracker'!$F$2:$F$255,$A17,'Parity Tracker'!$E$2:$E$255,"Pending")+COUNTIFS('Parity Tracker'!$F$2:$F$255,$A17,'Parity Tracker'!$E$2:$E$255,"Blocked")</f>
        <v/>
      </c>
      <c r="C17" s="21" t="inlineStr">
        <is>
          <t>Release blockers — cannot ship without these</t>
        </is>
      </c>
    </row>
    <row r="18" ht="15" customHeight="1" s="17">
      <c r="A18" s="21" t="inlineStr">
        <is>
          <t>P1</t>
        </is>
      </c>
      <c r="B18" s="21">
        <f>COUNTIFS('Parity Tracker'!$F$2:$F$255,$A18,'Parity Tracker'!$E$2:$E$255,"Partial")+COUNTIFS('Parity Tracker'!$F$2:$F$255,$A18,'Parity Tracker'!$E$2:$E$255,"Pending")+COUNTIFS('Parity Tracker'!$F$2:$F$255,$A18,'Parity Tracker'!$E$2:$E$255,"Blocked")</f>
        <v/>
      </c>
      <c r="C18" s="21" t="inlineStr">
        <is>
          <t>High value for daily use</t>
        </is>
      </c>
    </row>
    <row r="19" ht="15" customHeight="1" s="17">
      <c r="A19" s="21" t="inlineStr">
        <is>
          <t>P2</t>
        </is>
      </c>
      <c r="B19" s="21">
        <f>COUNTIFS('Parity Tracker'!$F$2:$F$255,$A19,'Parity Tracker'!$E$2:$E$255,"Partial")+COUNTIFS('Parity Tracker'!$F$2:$F$255,$A19,'Parity Tracker'!$E$2:$E$255,"Pending")+COUNTIFS('Parity Tracker'!$F$2:$F$255,$A19,'Parity Tracker'!$E$2:$E$255,"Blocked")</f>
        <v/>
      </c>
      <c r="C19" s="21" t="inlineStr">
        <is>
          <t>Useful, after P1</t>
        </is>
      </c>
    </row>
    <row r="20" ht="15" customHeight="1" s="17">
      <c r="A20" s="21" t="inlineStr">
        <is>
          <t>P3</t>
        </is>
      </c>
      <c r="B20" s="21">
        <f>COUNTIFS('Parity Tracker'!$F$2:$F$255,$A20,'Parity Tracker'!$E$2:$E$255,"Partial")+COUNTIFS('Parity Tracker'!$F$2:$F$255,$A20,'Parity Tracker'!$E$2:$E$255,"Pending")+COUNTIFS('Parity Tracker'!$F$2:$F$255,$A20,'Parity Tracker'!$E$2:$E$255,"Blocked")</f>
        <v/>
      </c>
      <c r="C20" s="21" t="inlineStr">
        <is>
          <t>Long tail / nice to have</t>
        </is>
      </c>
    </row>
    <row r="22" ht="15" customHeight="1" s="17">
      <c r="A22" s="19" t="inlineStr">
        <is>
          <t>How to read '% done': Done counts 1, Partial counts 0.5, Not planned is left out of the denominator.</t>
        </is>
      </c>
    </row>
    <row r="23" ht="15" customHeight="1" s="17">
      <c r="A23" s="19" t="inlineStr">
        <is>
          <t>Counts are of rows in the tracker, not of effort: one row can be a 30-minute port or a multi-day feature (see Effort).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55"/>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customHeight="0" zeroHeight="0" outlineLevelRow="0"/>
  <cols>
    <col width="8" customWidth="1" style="16" min="1" max="1"/>
    <col width="26" customWidth="1" style="16" min="2" max="2"/>
    <col width="52" customWidth="1" style="16" min="3" max="3"/>
    <col width="46" customWidth="1" style="16" min="4" max="4"/>
    <col width="13" customWidth="1" style="16" min="5" max="5"/>
    <col width="9" customWidth="1" style="16" min="6" max="6"/>
    <col width="8" customWidth="1" style="16" min="7" max="7"/>
    <col width="11" customWidth="1" style="16" min="8" max="8"/>
    <col width="26" customWidth="1" style="16" min="9" max="9"/>
    <col width="60" customWidth="1" style="16" min="10" max="10"/>
    <col width="12" customWidth="1" style="16" min="11" max="11"/>
  </cols>
  <sheetData>
    <row r="1" ht="23.25" customHeight="1" s="17">
      <c r="A1" s="29" t="inlineStr">
        <is>
          <t>ID</t>
        </is>
      </c>
      <c r="B1" s="29" t="inlineStr">
        <is>
          <t>Area</t>
        </is>
      </c>
      <c r="C1" s="29" t="inlineStr">
        <is>
          <t>Feature</t>
        </is>
      </c>
      <c r="D1" s="29" t="inlineStr">
        <is>
          <t>Website source</t>
        </is>
      </c>
      <c r="E1" s="29" t="inlineStr">
        <is>
          <t>Phone status</t>
        </is>
      </c>
      <c r="F1" s="29" t="inlineStr">
        <is>
          <t>Priority</t>
        </is>
      </c>
      <c r="G1" s="29" t="inlineStr">
        <is>
          <t>Effort</t>
        </is>
      </c>
      <c r="H1" s="29" t="inlineStr">
        <is>
          <t>Build order</t>
        </is>
      </c>
      <c r="I1" s="29" t="inlineStr">
        <is>
          <t>Planned phone location</t>
        </is>
      </c>
      <c r="J1" s="29" t="inlineStr">
        <is>
          <t>Notes</t>
        </is>
      </c>
      <c r="K1" s="29" t="inlineStr">
        <is>
          <t>Updated</t>
        </is>
      </c>
    </row>
    <row r="2" ht="15" customHeight="1" s="17">
      <c r="A2" s="30" t="inlineStr">
        <is>
          <t>T-01</t>
        </is>
      </c>
      <c r="B2" s="30" t="inlineStr">
        <is>
          <t>Trackers &amp; planners</t>
        </is>
      </c>
      <c r="C2" s="30" t="inlineStr">
        <is>
          <t>Portfolio Growth Simulator</t>
        </is>
      </c>
      <c r="D2" s="30" t="inlineStr">
        <is>
          <t>html/portfolio.html</t>
        </is>
      </c>
      <c r="E2" s="30" t="inlineStr">
        <is>
          <t>Done</t>
        </is>
      </c>
      <c r="F2" s="30" t="inlineStr">
        <is>
          <t>P3</t>
        </is>
      </c>
      <c r="G2" s="30" t="inlineStr">
        <is>
          <t>M</t>
        </is>
      </c>
      <c r="H2" s="30" t="n"/>
      <c r="I2" s="30" t="inlineStr">
        <is>
          <t>tools/…</t>
        </is>
      </c>
      <c r="J2" s="30" t="inlineStr">
        <is>
          <t>app/plan/growth.tsx: holdings at the last fetched price (cost, flagged, when never priced) and their SIPs; the return is never pre-filled, low/high at +-2 points, before tax and costs. Equals the website calculator page on 150 inputs.</t>
        </is>
      </c>
      <c r="K2" s="30" t="inlineStr">
        <is>
          <t>2026-10-15</t>
        </is>
      </c>
    </row>
    <row r="3" ht="15" customHeight="1" s="17">
      <c r="A3" s="30" t="inlineStr">
        <is>
          <t>T-02</t>
        </is>
      </c>
      <c r="B3" s="30" t="inlineStr">
        <is>
          <t>Trackers &amp; planners</t>
        </is>
      </c>
      <c r="C3" s="30" t="inlineStr">
        <is>
          <t>Budget Forecast (pace, AI forecast)</t>
        </is>
      </c>
      <c r="D3" s="30" t="inlineStr">
        <is>
          <t>html/budget-forecast.html</t>
        </is>
      </c>
      <c r="E3" s="30" t="inlineStr">
        <is>
          <t>Done</t>
        </is>
      </c>
      <c r="F3" s="30" t="inlineStr">
        <is>
          <t>P2</t>
        </is>
      </c>
      <c r="G3" s="30" t="inlineStr">
        <is>
          <t>M</t>
        </is>
      </c>
      <c r="H3" s="30" t="n"/>
      <c r="I3" s="30" t="inlineStr">
        <is>
          <t>tracker/budget</t>
        </is>
      </c>
      <c r="J3" s="30" t="inlineStr">
        <is>
          <t>app/plan/forecast.tsx: port of js/finos-forecast.js (parity-tested on 600 ledgers). Figure is for the current month; hidden trend/risk under 3 months of history; writes only finos_forecast_next_month.</t>
        </is>
      </c>
      <c r="K3" s="30" t="inlineStr">
        <is>
          <t>2026-10-15</t>
        </is>
      </c>
    </row>
    <row r="4" ht="15" customHeight="1" s="17">
      <c r="A4" s="30" t="inlineStr">
        <is>
          <t>T-03</t>
        </is>
      </c>
      <c r="B4" s="30" t="inlineStr">
        <is>
          <t>Trackers &amp; planners</t>
        </is>
      </c>
      <c r="C4" s="30" t="inlineStr">
        <is>
          <t>Subscription Tracker</t>
        </is>
      </c>
      <c r="D4" s="30" t="inlineStr">
        <is>
          <t>html/subscription-tracker.html</t>
        </is>
      </c>
      <c r="E4" s="30" t="inlineStr">
        <is>
          <t>Done</t>
        </is>
      </c>
      <c r="F4" s="30" t="inlineStr">
        <is>
          <t>P2</t>
        </is>
      </c>
      <c r="G4" s="30" t="inlineStr">
        <is>
          <t>M</t>
        </is>
      </c>
      <c r="H4" s="30" t="n"/>
      <c r="I4" s="30" t="inlineStr">
        <is>
          <t>tracker/subscriptions</t>
        </is>
      </c>
      <c r="J4" s="30" t="inlineStr">
        <is>
          <t>Parity-tested against js/finos-subscriptions.js</t>
        </is>
      </c>
      <c r="K4" s="30" t="inlineStr">
        <is>
          <t>2026-10-12</t>
        </is>
      </c>
    </row>
    <row r="5" ht="15" customHeight="1" s="17">
      <c r="A5" s="30" t="inlineStr">
        <is>
          <t>T-04</t>
        </is>
      </c>
      <c r="B5" s="30" t="inlineStr">
        <is>
          <t>Trackers &amp; planners</t>
        </is>
      </c>
      <c r="C5" s="30" t="inlineStr">
        <is>
          <t>Credit Score Tracker</t>
        </is>
      </c>
      <c r="D5" s="30" t="inlineStr">
        <is>
          <t>html/credit-score.html</t>
        </is>
      </c>
      <c r="E5" s="30" t="inlineStr">
        <is>
          <t>Done</t>
        </is>
      </c>
      <c r="F5" s="30" t="inlineStr">
        <is>
          <t>P2</t>
        </is>
      </c>
      <c r="G5" s="30" t="inlineStr">
        <is>
          <t>S</t>
        </is>
      </c>
      <c r="H5" s="30" t="n"/>
      <c r="I5" s="30" t="inlineStr">
        <is>
          <t>tools/credit</t>
        </is>
      </c>
      <c r="J5" s="30" t="inlineStr">
        <is>
          <t>CIBIL band, home-loan rate impact, ranked improvement tips; nothing assumed when a figure was not typed; parity-tested vs js/finos-credit-score.js</t>
        </is>
      </c>
      <c r="K5" s="30" t="inlineStr">
        <is>
          <t>2026-10-12</t>
        </is>
      </c>
    </row>
    <row r="6" ht="15" customHeight="1" s="17">
      <c r="A6" s="30" t="inlineStr">
        <is>
          <t>T-05</t>
        </is>
      </c>
      <c r="B6" s="30" t="inlineStr">
        <is>
          <t>Trackers &amp; planners</t>
        </is>
      </c>
      <c r="C6" s="30" t="inlineStr">
        <is>
          <t>Crypto Tracker</t>
        </is>
      </c>
      <c r="D6" s="30" t="inlineStr">
        <is>
          <t>html/crypto-tracker.html</t>
        </is>
      </c>
      <c r="E6" s="30" t="inlineStr">
        <is>
          <t>Done</t>
        </is>
      </c>
      <c r="F6" s="30" t="inlineStr">
        <is>
          <t>P2</t>
        </is>
      </c>
      <c r="G6" s="30" t="inlineStr">
        <is>
          <t>M</t>
        </is>
      </c>
      <c r="H6" s="30" t="n"/>
      <c r="I6" s="30" t="inlineStr">
        <is>
          <t>tracker/crypto</t>
        </is>
      </c>
      <c r="J6" s="30" t="inlineStr">
        <is>
          <t>Holdings, P&amp;L, 31.2% tax on each coin's gain, 1% TDS what-if; prices are typed (never fetched); parity-tested vs js/finos-crypto-tracker.js</t>
        </is>
      </c>
      <c r="K6" s="30" t="inlineStr">
        <is>
          <t>2026-10-12</t>
        </is>
      </c>
    </row>
    <row r="7" ht="15" customHeight="1" s="17">
      <c r="A7" s="30" t="inlineStr">
        <is>
          <t>T-06</t>
        </is>
      </c>
      <c r="B7" s="30" t="inlineStr">
        <is>
          <t>Trackers &amp; planners</t>
        </is>
      </c>
      <c r="C7" s="30" t="inlineStr">
        <is>
          <t>Debt Optimizer (avalanche / snowball)</t>
        </is>
      </c>
      <c r="D7" s="30" t="inlineStr">
        <is>
          <t>html/debt-optimizer.html</t>
        </is>
      </c>
      <c r="E7" s="30" t="inlineStr">
        <is>
          <t>Done</t>
        </is>
      </c>
      <c r="F7" s="30" t="inlineStr">
        <is>
          <t>P1</t>
        </is>
      </c>
      <c r="G7" s="30" t="inlineStr">
        <is>
          <t>M</t>
        </is>
      </c>
      <c r="H7" s="30" t="n">
        <v>7</v>
      </c>
      <c r="I7" s="30" t="inlineStr">
        <is>
          <t>tools/debt</t>
        </is>
      </c>
      <c r="J7" s="30" t="inlineStr">
        <is>
          <t>Avalanche vs snowball + home-loan prepayment impact; shares balances with Net Worth; parity-tested vs js/finos-debt-optimizer.js</t>
        </is>
      </c>
      <c r="K7" s="30" t="inlineStr">
        <is>
          <t>2026-10-12</t>
        </is>
      </c>
    </row>
    <row r="8" ht="15" customHeight="1" s="17">
      <c r="A8" s="30" t="inlineStr">
        <is>
          <t>T-07</t>
        </is>
      </c>
      <c r="B8" s="30" t="inlineStr">
        <is>
          <t>Trackers &amp; planners</t>
        </is>
      </c>
      <c r="C8" s="30" t="inlineStr">
        <is>
          <t>Emergency Fund Tracker</t>
        </is>
      </c>
      <c r="D8" s="30" t="inlineStr">
        <is>
          <t>html/emergency-fund.html</t>
        </is>
      </c>
      <c r="E8" s="30" t="inlineStr">
        <is>
          <t>Done</t>
        </is>
      </c>
      <c r="F8" s="30" t="inlineStr">
        <is>
          <t>P2</t>
        </is>
      </c>
      <c r="G8" s="30" t="inlineStr">
        <is>
          <t>S</t>
        </is>
      </c>
      <c r="H8" s="30" t="n"/>
      <c r="I8" s="30" t="inlineStr">
        <is>
          <t>tracker/emergency</t>
        </is>
      </c>
      <c r="J8" s="30" t="n"/>
      <c r="K8" s="30" t="inlineStr">
        <is>
          <t>2026-10-12</t>
        </is>
      </c>
    </row>
    <row r="9" ht="15" customHeight="1" s="17">
      <c r="A9" s="30" t="inlineStr">
        <is>
          <t>T-08</t>
        </is>
      </c>
      <c r="B9" s="30" t="inlineStr">
        <is>
          <t>Trackers &amp; planners</t>
        </is>
      </c>
      <c r="C9" s="30" t="inlineStr">
        <is>
          <t>EPF Tracker</t>
        </is>
      </c>
      <c r="D9" s="30" t="inlineStr">
        <is>
          <t>html/epf-tracker.html</t>
        </is>
      </c>
      <c r="E9" s="30" t="inlineStr">
        <is>
          <t>Done</t>
        </is>
      </c>
      <c r="F9" s="30" t="inlineStr">
        <is>
          <t>P2</t>
        </is>
      </c>
      <c r="G9" s="30" t="inlineStr">
        <is>
          <t>M</t>
        </is>
      </c>
      <c r="H9" s="30" t="n"/>
      <c r="I9" s="30" t="inlineStr">
        <is>
          <t>tracker/epf</t>
        </is>
      </c>
      <c r="J9" s="30" t="n"/>
      <c r="K9" s="30" t="inlineStr">
        <is>
          <t>2026-10-12</t>
        </is>
      </c>
    </row>
    <row r="10" ht="15" customHeight="1" s="17">
      <c r="A10" s="30" t="inlineStr">
        <is>
          <t>T-09</t>
        </is>
      </c>
      <c r="B10" s="30" t="inlineStr">
        <is>
          <t>Trackers &amp; planners</t>
        </is>
      </c>
      <c r="C10" s="30" t="inlineStr">
        <is>
          <t>Fixed Income (FD) Tracker</t>
        </is>
      </c>
      <c r="D10" s="30" t="inlineStr">
        <is>
          <t>html/fd-tracker.html</t>
        </is>
      </c>
      <c r="E10" s="30" t="inlineStr">
        <is>
          <t>Done</t>
        </is>
      </c>
      <c r="F10" s="30" t="inlineStr">
        <is>
          <t>P1</t>
        </is>
      </c>
      <c r="G10" s="30" t="inlineStr">
        <is>
          <t>M</t>
        </is>
      </c>
      <c r="H10" s="30" t="n">
        <v>9</v>
      </c>
      <c r="I10" s="30" t="inlineStr">
        <is>
          <t>tracker/fixed</t>
        </is>
      </c>
      <c r="J10" s="30" t="inlineStr">
        <is>
          <t>FD, RD, PPF, NSC, SCSS, Sukanya, bonds, post office; same finos_fd_portfolio key as the web; parity-tested; RD 0% division guarded</t>
        </is>
      </c>
      <c r="K10" s="30" t="inlineStr">
        <is>
          <t>2026-10-12</t>
        </is>
      </c>
    </row>
    <row r="11" ht="15" customHeight="1" s="17">
      <c r="A11" s="30" t="inlineStr">
        <is>
          <t>T-10</t>
        </is>
      </c>
      <c r="B11" s="30" t="inlineStr">
        <is>
          <t>Trackers &amp; planners</t>
        </is>
      </c>
      <c r="C11" s="30" t="inlineStr">
        <is>
          <t>Financial Calendar (+ reminders)</t>
        </is>
      </c>
      <c r="D11" s="30" t="inlineStr">
        <is>
          <t>html/financial-calendar.html</t>
        </is>
      </c>
      <c r="E11" s="30" t="inlineStr">
        <is>
          <t>Done</t>
        </is>
      </c>
      <c r="F11" s="30" t="inlineStr">
        <is>
          <t>P1</t>
        </is>
      </c>
      <c r="G11" s="30" t="inlineStr">
        <is>
          <t>L</t>
        </is>
      </c>
      <c r="H11" s="30" t="n">
        <v>11</v>
      </c>
      <c r="I11" s="30" t="inlineStr">
        <is>
          <t>tools/calendar</t>
        </is>
      </c>
      <c r="J11" s="30" t="inlineStr">
        <is>
          <t>Month grid, coming-up list and summary as before, plus your own dates (once / monthly / yearly, app/plan/mydates.tsx) on the grid and in reminders, and an .ics export of the next 12 months with an amounts switch. Reminders and notifications exist (lib/reminders*.ts); not verified on a device (R-10).</t>
        </is>
      </c>
      <c r="K11" s="30" t="inlineStr">
        <is>
          <t>2026-10-15</t>
        </is>
      </c>
    </row>
    <row r="12" ht="15" customHeight="1" s="17">
      <c r="A12" s="30" t="inlineStr">
        <is>
          <t>T-11</t>
        </is>
      </c>
      <c r="B12" s="30" t="inlineStr">
        <is>
          <t>Trackers &amp; planners</t>
        </is>
      </c>
      <c r="C12" s="30" t="inlineStr">
        <is>
          <t>Financial Command Hub</t>
        </is>
      </c>
      <c r="D12" s="30" t="inlineStr">
        <is>
          <t>html/financial-hub.html</t>
        </is>
      </c>
      <c r="E12" s="30" t="inlineStr">
        <is>
          <t>Not planned</t>
        </is>
      </c>
      <c r="F12" s="30" t="inlineStr">
        <is>
          <t>P3</t>
        </is>
      </c>
      <c r="G12" s="30" t="inlineStr">
        <is>
          <t>S</t>
        </is>
      </c>
      <c r="H12" s="30" t="n"/>
      <c r="I12" s="30" t="n"/>
      <c r="J12" s="30" t="inlineStr">
        <is>
          <t>Dashboard + Track tab already do this job</t>
        </is>
      </c>
      <c r="K12" s="30" t="inlineStr">
        <is>
          <t>2026-10-12</t>
        </is>
      </c>
    </row>
    <row r="13" ht="15" customHeight="1" s="17">
      <c r="A13" s="30" t="inlineStr">
        <is>
          <t>T-12</t>
        </is>
      </c>
      <c r="B13" s="30" t="inlineStr">
        <is>
          <t>Trackers &amp; planners</t>
        </is>
      </c>
      <c r="C13" s="30" t="inlineStr">
        <is>
          <t>Goal Optimizer</t>
        </is>
      </c>
      <c r="D13" s="30" t="inlineStr">
        <is>
          <t>html/goal-optimizer.html</t>
        </is>
      </c>
      <c r="E13" s="30" t="inlineStr">
        <is>
          <t>Done</t>
        </is>
      </c>
      <c r="F13" s="30" t="inlineStr">
        <is>
          <t>P2</t>
        </is>
      </c>
      <c r="G13" s="30" t="inlineStr">
        <is>
          <t>M</t>
        </is>
      </c>
      <c r="H13" s="30" t="n"/>
      <c r="I13" s="30" t="inlineStr">
        <is>
          <t>tools/goalopt (from Goals)</t>
        </is>
      </c>
      <c r="J13" s="30" t="inlineStr">
        <is>
          <t>Inflation-adjusted SIP per goal, priority score, feasibility vs what you can invest, competing-goal conflicts; parity-tested vs js/finos-goal-optimizer.js. Website corrected in the same pass: saved money compounds as today's rupees (it was taken as a % of the inflated target, counting inflation twice).</t>
        </is>
      </c>
      <c r="K13" s="30" t="inlineStr">
        <is>
          <t>2026-10-12</t>
        </is>
      </c>
    </row>
    <row r="14" ht="15" customHeight="1" s="17">
      <c r="A14" s="30" t="inlineStr">
        <is>
          <t>T-13</t>
        </is>
      </c>
      <c r="B14" s="30" t="inlineStr">
        <is>
          <t>Trackers &amp; planners</t>
        </is>
      </c>
      <c r="C14" s="30" t="inlineStr">
        <is>
          <t>Gold Tracker</t>
        </is>
      </c>
      <c r="D14" s="30" t="inlineStr">
        <is>
          <t>html/gold-tracker.html</t>
        </is>
      </c>
      <c r="E14" s="30" t="inlineStr">
        <is>
          <t>Done</t>
        </is>
      </c>
      <c r="F14" s="30" t="inlineStr">
        <is>
          <t>P1</t>
        </is>
      </c>
      <c r="G14" s="30" t="inlineStr">
        <is>
          <t>M</t>
        </is>
      </c>
      <c r="H14" s="30" t="n">
        <v>10</v>
      </c>
      <c r="I14" s="30" t="inlineStr">
        <is>
          <t>tracker/gold</t>
        </is>
      </c>
      <c r="J14" s="30" t="inlineStr">
        <is>
          <t>Physical, SGB, gold ETF, gold MF; user-typed price only (no invented rate); coupon; parity-tested vs js/finos-gold-tracker.js</t>
        </is>
      </c>
      <c r="K14" s="30" t="inlineStr">
        <is>
          <t>2026-10-12</t>
        </is>
      </c>
    </row>
    <row r="15" ht="15" customHeight="1" s="17">
      <c r="A15" s="30" t="inlineStr">
        <is>
          <t>T-14</t>
        </is>
      </c>
      <c r="B15" s="30" t="inlineStr">
        <is>
          <t>Trackers &amp; planners</t>
        </is>
      </c>
      <c r="C15" s="30" t="inlineStr">
        <is>
          <t>Home Loan EMI Planner</t>
        </is>
      </c>
      <c r="D15" s="30" t="inlineStr">
        <is>
          <t>html/home-loan.html</t>
        </is>
      </c>
      <c r="E15" s="30" t="inlineStr">
        <is>
          <t>Done</t>
        </is>
      </c>
      <c r="F15" s="30" t="inlineStr">
        <is>
          <t>P1</t>
        </is>
      </c>
      <c r="G15" s="30" t="inlineStr">
        <is>
          <t>M</t>
        </is>
      </c>
      <c r="H15" s="30" t="n">
        <v>8</v>
      </c>
      <c r="I15" s="30" t="inlineStr">
        <is>
          <t>tools/homeloan</t>
        </is>
      </c>
      <c r="J15" s="30" t="inlineStr">
        <is>
          <t>EMI, amortisation, affordability, 24(b)/80C deductions, prepayment impact; parity-tested. Website's PMAY-CLSS 'eligible' banner deliberately not ported (scheme bands ended); writes loan keys only on 'Save as my home loan'.</t>
        </is>
      </c>
      <c r="K15" s="30" t="inlineStr">
        <is>
          <t>2026-10-12</t>
        </is>
      </c>
    </row>
    <row r="16" ht="15" customHeight="1" s="17">
      <c r="A16" s="30" t="inlineStr">
        <is>
          <t>T-15</t>
        </is>
      </c>
      <c r="B16" s="30" t="inlineStr">
        <is>
          <t>Trackers &amp; planners</t>
        </is>
      </c>
      <c r="C16" s="30" t="inlineStr">
        <is>
          <t>Insurance Hub (directory, compare)</t>
        </is>
      </c>
      <c r="D16" s="30" t="inlineStr">
        <is>
          <t>html/insurance-hub.html</t>
        </is>
      </c>
      <c r="E16" s="30" t="inlineStr">
        <is>
          <t>Done</t>
        </is>
      </c>
      <c r="F16" s="30" t="inlineStr">
        <is>
          <t>P2</t>
        </is>
      </c>
      <c r="G16" s="30" t="inlineStr">
        <is>
          <t>M</t>
        </is>
      </c>
      <c r="H16" s="30" t="n"/>
      <c r="I16" s="30" t="inlineStr">
        <is>
          <t>tracker/insurance</t>
        </is>
      </c>
      <c r="J16" s="30" t="inlineStr">
        <is>
          <t>app/insurance: cover-type directory extracted from the website's own pages with file+line provenance, per-type questions, compare of cover types and of your own policies, checklist answers on the phone. No insurer or product is named or ranked (the website has none). Figures the website states are shown as statements: date not stated, not verified.</t>
        </is>
      </c>
      <c r="K16" s="30" t="inlineStr">
        <is>
          <t>2026-10-15</t>
        </is>
      </c>
    </row>
    <row r="17" ht="15" customHeight="1" s="17">
      <c r="A17" s="30" t="inlineStr">
        <is>
          <t>T-16</t>
        </is>
      </c>
      <c r="B17" s="30" t="inlineStr">
        <is>
          <t>Trackers &amp; planners</t>
        </is>
      </c>
      <c r="C17" s="30" t="inlineStr">
        <is>
          <t>ITR Filing Prep Kit</t>
        </is>
      </c>
      <c r="D17" s="30" t="inlineStr">
        <is>
          <t>html/itr-summary.html</t>
        </is>
      </c>
      <c r="E17" s="30" t="inlineStr">
        <is>
          <t>Done</t>
        </is>
      </c>
      <c r="F17" s="30" t="inlineStr">
        <is>
          <t>P2</t>
        </is>
      </c>
      <c r="G17" s="30" t="inlineStr">
        <is>
          <t>M</t>
        </is>
      </c>
      <c r="H17" s="30" t="n"/>
      <c r="I17" s="30" t="inlineStr">
        <is>
          <t>tools/itr (from Tax planner)</t>
        </is>
      </c>
      <c r="J17" s="30" t="inlineStr">
        <is>
          <t>Income, 80C itemised, 80CCD/80D/24(b)/80E/80TTA, both regimes, TDS and balance/refund; the calculation is sliced unchanged from js/finos-itr-summary.js and parity-tested; figures live under the website's keys. Capital gains and surcharge are not in this worksheet (the Tax Planner has them).</t>
        </is>
      </c>
      <c r="K17" s="30" t="inlineStr">
        <is>
          <t>2026-10-12</t>
        </is>
      </c>
    </row>
    <row r="18" ht="15" customHeight="1" s="17">
      <c r="A18" s="30" t="inlineStr">
        <is>
          <t>T-17</t>
        </is>
      </c>
      <c r="B18" s="30" t="inlineStr">
        <is>
          <t>Trackers &amp; planners</t>
        </is>
      </c>
      <c r="C18" s="30" t="inlineStr">
        <is>
          <t>Life Insurance Need Calculator</t>
        </is>
      </c>
      <c r="D18" s="30" t="inlineStr">
        <is>
          <t>html/life-cover.html</t>
        </is>
      </c>
      <c r="E18" s="30" t="inlineStr">
        <is>
          <t>Done</t>
        </is>
      </c>
      <c r="F18" s="30" t="inlineStr">
        <is>
          <t>P2</t>
        </is>
      </c>
      <c r="G18" s="30" t="inlineStr">
        <is>
          <t>S</t>
        </is>
      </c>
      <c r="H18" s="30" t="n"/>
      <c r="I18" s="30" t="inlineStr">
        <is>
          <t>tools/lifecover (from Insurance)</t>
        </is>
      </c>
      <c r="J18" s="30" t="inlineStr">
        <is>
          <t>Human life value + income replacement + debts − existing cover, status band, rough premium illustration; parity-tested vs js/finos-life-cover.js; prefilled from income, spending, policies and loans.</t>
        </is>
      </c>
      <c r="K18" s="30" t="inlineStr">
        <is>
          <t>2026-10-12</t>
        </is>
      </c>
    </row>
    <row r="19" ht="15" customHeight="1" s="17">
      <c r="A19" s="30" t="inlineStr">
        <is>
          <t>T-18</t>
        </is>
      </c>
      <c r="B19" s="30" t="inlineStr">
        <is>
          <t>Trackers &amp; planners</t>
        </is>
      </c>
      <c r="C19" s="30" t="inlineStr">
        <is>
          <t>Life Goals Planner</t>
        </is>
      </c>
      <c r="D19" s="30" t="inlineStr">
        <is>
          <t>html/life-goals-planner.html</t>
        </is>
      </c>
      <c r="E19" s="30" t="inlineStr">
        <is>
          <t>Done</t>
        </is>
      </c>
      <c r="F19" s="30" t="inlineStr">
        <is>
          <t>P2</t>
        </is>
      </c>
      <c r="G19" s="30" t="inlineStr">
        <is>
          <t>M</t>
        </is>
      </c>
      <c r="H19" s="30" t="n"/>
      <c r="I19" s="30" t="inlineStr">
        <is>
          <t>app/tools/goalopt.tsx</t>
        </is>
      </c>
      <c r="J19" s="30" t="inlineStr">
        <is>
          <t>app/plan/lifegoals.tsx: port of js/finos-life-goals.js (1,500 households) with a roadmap rebuilt from derived figures only; prefill only from recorded data; the earlier generic advice lines were removed on both website and phone. Feasibility saved under finos_life_goals_feasibility.</t>
        </is>
      </c>
      <c r="K19" s="30" t="inlineStr">
        <is>
          <t>2026-10-15</t>
        </is>
      </c>
    </row>
    <row r="20" ht="15" customHeight="1" s="17">
      <c r="A20" s="30" t="inlineStr">
        <is>
          <t>T-19</t>
        </is>
      </c>
      <c r="B20" s="30" t="inlineStr">
        <is>
          <t>Trackers &amp; planners</t>
        </is>
      </c>
      <c r="C20" s="30" t="inlineStr">
        <is>
          <t>Mutual Fund Intelligence</t>
        </is>
      </c>
      <c r="D20" s="30" t="inlineStr">
        <is>
          <t>html/mf-intelligence.html</t>
        </is>
      </c>
      <c r="E20" s="30" t="inlineStr">
        <is>
          <t>Partial</t>
        </is>
      </c>
      <c r="F20" s="30" t="inlineStr">
        <is>
          <t>P2</t>
        </is>
      </c>
      <c r="G20" s="30" t="inlineStr">
        <is>
          <t>L</t>
        </is>
      </c>
      <c r="H20" s="30" t="n"/>
      <c r="I20" s="30" t="inlineStr">
        <is>
          <t>markets/mf</t>
        </is>
      </c>
      <c r="J20" s="30" t="inlineStr">
        <is>
          <t>app/funds: search, detail (Direct/Regular x Growth/IDCW shown separately), compare up to 3, Direct vs Regular expense impact and SIP consistency (both parity-tested). Returns need GET /api/mf/history, which the backend now serves but the phone has not been exercised against end to end. No expense ratio, exit load, holdings or category returns in the feed.</t>
        </is>
      </c>
      <c r="K20" s="30" t="inlineStr">
        <is>
          <t>2026-10-15</t>
        </is>
      </c>
    </row>
    <row r="21" ht="15" customHeight="1" s="17">
      <c r="A21" s="30" t="inlineStr">
        <is>
          <t>T-20</t>
        </is>
      </c>
      <c r="B21" s="30" t="inlineStr">
        <is>
          <t>Trackers &amp; planners</t>
        </is>
      </c>
      <c r="C21" s="30" t="inlineStr">
        <is>
          <t>Net Worth Tracker</t>
        </is>
      </c>
      <c r="D21" s="30" t="inlineStr">
        <is>
          <t>html/net-worth.html</t>
        </is>
      </c>
      <c r="E21" s="30" t="inlineStr">
        <is>
          <t>Done</t>
        </is>
      </c>
      <c r="F21" s="30" t="inlineStr">
        <is>
          <t>P2</t>
        </is>
      </c>
      <c r="G21" s="30" t="inlineStr">
        <is>
          <t>M</t>
        </is>
      </c>
      <c r="H21" s="30" t="n"/>
      <c r="I21" s="30" t="inlineStr">
        <is>
          <t>tracker/networth</t>
        </is>
      </c>
      <c r="J21" s="30" t="n"/>
      <c r="K21" s="30" t="inlineStr">
        <is>
          <t>2026-10-12</t>
        </is>
      </c>
    </row>
    <row r="22" ht="15" customHeight="1" s="17">
      <c r="A22" s="30" t="inlineStr">
        <is>
          <t>T-21</t>
        </is>
      </c>
      <c r="B22" s="30" t="inlineStr">
        <is>
          <t>Trackers &amp; planners</t>
        </is>
      </c>
      <c r="C22" s="30" t="inlineStr">
        <is>
          <t>NPS Tracker</t>
        </is>
      </c>
      <c r="D22" s="30" t="inlineStr">
        <is>
          <t>html/nps-tracker.html</t>
        </is>
      </c>
      <c r="E22" s="30" t="inlineStr">
        <is>
          <t>Done</t>
        </is>
      </c>
      <c r="F22" s="30" t="inlineStr">
        <is>
          <t>P2</t>
        </is>
      </c>
      <c r="G22" s="30" t="inlineStr">
        <is>
          <t>M</t>
        </is>
      </c>
      <c r="H22" s="30" t="n"/>
      <c r="I22" s="30" t="inlineStr">
        <is>
          <t>tracker/nps</t>
        </is>
      </c>
      <c r="J22" s="30" t="n"/>
      <c r="K22" s="30" t="inlineStr">
        <is>
          <t>2026-10-12</t>
        </is>
      </c>
    </row>
    <row r="23" ht="15" customHeight="1" s="17">
      <c r="A23" s="30" t="inlineStr">
        <is>
          <t>T-22</t>
        </is>
      </c>
      <c r="B23" s="30" t="inlineStr">
        <is>
          <t>Trackers &amp; planners</t>
        </is>
      </c>
      <c r="C23" s="30" t="inlineStr">
        <is>
          <t>Passive Income Tracker</t>
        </is>
      </c>
      <c r="D23" s="30" t="inlineStr">
        <is>
          <t>html/passive-income.html</t>
        </is>
      </c>
      <c r="E23" s="30" t="inlineStr">
        <is>
          <t>Done</t>
        </is>
      </c>
      <c r="F23" s="30" t="inlineStr">
        <is>
          <t>P2</t>
        </is>
      </c>
      <c r="G23" s="30" t="inlineStr">
        <is>
          <t>S</t>
        </is>
      </c>
      <c r="H23" s="30" t="n"/>
      <c r="I23" s="30" t="inlineStr">
        <is>
          <t>tracker/passive</t>
        </is>
      </c>
      <c r="J23" s="30" t="inlineStr">
        <is>
          <t>Streams (dividend, FD, rental, SWP, SGB, other), coverage of monthly spending, freedom milestones, what-if, extra corpus at 4%; totals parity-tested vs js/finos-passive-income.js; FD/SGB seed lines are labelled as estimates.</t>
        </is>
      </c>
      <c r="K23" s="30" t="inlineStr">
        <is>
          <t>2026-10-12</t>
        </is>
      </c>
    </row>
    <row r="24" ht="15" customHeight="1" s="17">
      <c r="A24" s="30" t="inlineStr">
        <is>
          <t>T-23</t>
        </is>
      </c>
      <c r="B24" s="30" t="inlineStr">
        <is>
          <t>Trackers &amp; planners</t>
        </is>
      </c>
      <c r="C24" s="30" t="inlineStr">
        <is>
          <t>Portfolio Rebalancer</t>
        </is>
      </c>
      <c r="D24" s="30" t="inlineStr">
        <is>
          <t>html/portfolio-rebalancer.html</t>
        </is>
      </c>
      <c r="E24" s="30" t="inlineStr">
        <is>
          <t>Done</t>
        </is>
      </c>
      <c r="F24" s="30" t="inlineStr">
        <is>
          <t>P2</t>
        </is>
      </c>
      <c r="G24" s="30" t="inlineStr">
        <is>
          <t>M</t>
        </is>
      </c>
      <c r="H24" s="30" t="n"/>
      <c r="I24" s="30" t="inlineStr">
        <is>
          <t>tools/rebalance</t>
        </is>
      </c>
      <c r="J24" s="30" t="inlineStr">
        <is>
          <t>Six asset classes from the other trackers, target presets + editor, drift and action per class, new-money split; parity-tested vs js/finos-rebalancer.js. Differences: empty portfolio is not flagged, property and govt savings are advised as 'send new money elsewhere'.</t>
        </is>
      </c>
      <c r="K24" s="30" t="inlineStr">
        <is>
          <t>2026-10-12</t>
        </is>
      </c>
    </row>
    <row r="25" ht="15" customHeight="1" s="17">
      <c r="A25" s="30" t="inlineStr">
        <is>
          <t>T-24</t>
        </is>
      </c>
      <c r="B25" s="30" t="inlineStr">
        <is>
          <t>Trackers &amp; planners</t>
        </is>
      </c>
      <c r="C25" s="30" t="inlineStr">
        <is>
          <t>PPF &amp; Small Savings Tracker</t>
        </is>
      </c>
      <c r="D25" s="30" t="inlineStr">
        <is>
          <t>html/ppf-tracker.html</t>
        </is>
      </c>
      <c r="E25" s="30" t="inlineStr">
        <is>
          <t>Done</t>
        </is>
      </c>
      <c r="F25" s="30" t="inlineStr">
        <is>
          <t>P2</t>
        </is>
      </c>
      <c r="G25" s="30" t="inlineStr">
        <is>
          <t>M</t>
        </is>
      </c>
      <c r="H25" s="30" t="n"/>
      <c r="I25" s="30" t="inlineStr">
        <is>
          <t>tracker/ppf</t>
        </is>
      </c>
      <c r="J25" s="30" t="n"/>
      <c r="K25" s="30" t="inlineStr">
        <is>
          <t>2026-10-12</t>
        </is>
      </c>
    </row>
    <row r="26" ht="15" customHeight="1" s="17">
      <c r="A26" s="30" t="inlineStr">
        <is>
          <t>T-25</t>
        </is>
      </c>
      <c r="B26" s="30" t="inlineStr">
        <is>
          <t>Trackers &amp; planners</t>
        </is>
      </c>
      <c r="C26" s="30" t="inlineStr">
        <is>
          <t>Real Estate Intelligence</t>
        </is>
      </c>
      <c r="D26" s="30" t="inlineStr">
        <is>
          <t>html/real-estate.html</t>
        </is>
      </c>
      <c r="E26" s="30" t="inlineStr">
        <is>
          <t>Done</t>
        </is>
      </c>
      <c r="F26" s="30" t="inlineStr">
        <is>
          <t>P3</t>
        </is>
      </c>
      <c r="G26" s="30" t="inlineStr">
        <is>
          <t>M</t>
        </is>
      </c>
      <c r="H26" s="30" t="n"/>
      <c r="I26" s="30" t="inlineStr">
        <is>
          <t>app/tools/realestate.tsx</t>
        </is>
      </c>
      <c r="J26" s="30" t="inlineStr">
        <is>
          <t>Buy vs rent (corrected like-for-like model), true cost, rental yield; shared js/finos-real-estate.js; parity-tested</t>
        </is>
      </c>
      <c r="K26" s="30" t="inlineStr">
        <is>
          <t>2026-10-14</t>
        </is>
      </c>
    </row>
    <row r="27" ht="15" customHeight="1" s="17">
      <c r="A27" s="30" t="inlineStr">
        <is>
          <t>T-26</t>
        </is>
      </c>
      <c r="B27" s="30" t="inlineStr">
        <is>
          <t>Trackers &amp; planners</t>
        </is>
      </c>
      <c r="C27" s="30" t="inlineStr">
        <is>
          <t>Retirement Planner (Monte Carlo success odds)</t>
        </is>
      </c>
      <c r="D27" s="30" t="inlineStr">
        <is>
          <t>html/retirement-planner.html</t>
        </is>
      </c>
      <c r="E27" s="30" t="inlineStr">
        <is>
          <t>Done</t>
        </is>
      </c>
      <c r="F27" s="30" t="inlineStr">
        <is>
          <t>P1</t>
        </is>
      </c>
      <c r="G27" s="30" t="inlineStr">
        <is>
          <t>L</t>
        </is>
      </c>
      <c r="H27" s="30" t="n">
        <v>3</v>
      </c>
      <c r="I27" s="30" t="inlineStr">
        <is>
          <t>tools/retirement</t>
        </is>
      </c>
      <c r="J27" s="30" t="inlineStr">
        <is>
          <t>Built: corpus by source, 25× need, gap, income, Monte Carlo odds, fan chart, SIP solver. Engine identical to js/finos-montecarlo.js (40 random configs) and plan arithmetic identical on 400 random profiles.</t>
        </is>
      </c>
      <c r="K27" s="30" t="inlineStr">
        <is>
          <t>2026-10-12</t>
        </is>
      </c>
    </row>
    <row r="28" ht="15" customHeight="1" s="17">
      <c r="A28" s="30" t="inlineStr">
        <is>
          <t>T-27</t>
        </is>
      </c>
      <c r="B28" s="30" t="inlineStr">
        <is>
          <t>Trackers &amp; planners</t>
        </is>
      </c>
      <c r="C28" s="30" t="inlineStr">
        <is>
          <t>Salary Optimizer (CTC restructure)</t>
        </is>
      </c>
      <c r="D28" s="30" t="inlineStr">
        <is>
          <t>html/salary-optimizer.html</t>
        </is>
      </c>
      <c r="E28" s="30" t="inlineStr">
        <is>
          <t>Done</t>
        </is>
      </c>
      <c r="F28" s="30" t="inlineStr">
        <is>
          <t>P1</t>
        </is>
      </c>
      <c r="G28" s="30" t="inlineStr">
        <is>
          <t>M</t>
        </is>
      </c>
      <c r="H28" s="30" t="n">
        <v>5</v>
      </c>
      <c r="I28" s="30" t="inlineStr">
        <is>
          <t>tools/salary</t>
        </is>
      </c>
      <c r="J28" s="30" t="inlineStr">
        <is>
          <t>CTC breakup → gross, HRA three-way minimum, tax in both regimes, take-home, restructuring tips; parity-tested. Take-home becomes income only on tap (the website overwrites finos_monthly_income on every render).</t>
        </is>
      </c>
      <c r="K28" s="30" t="inlineStr">
        <is>
          <t>2026-10-12</t>
        </is>
      </c>
    </row>
    <row r="29" ht="15" customHeight="1" s="17">
      <c r="A29" s="30" t="inlineStr">
        <is>
          <t>T-28</t>
        </is>
      </c>
      <c r="B29" s="30" t="inlineStr">
        <is>
          <t>Trackers &amp; planners</t>
        </is>
      </c>
      <c r="C29" s="30" t="inlineStr">
        <is>
          <t>SIP Step-Up Planner</t>
        </is>
      </c>
      <c r="D29" s="30" t="inlineStr">
        <is>
          <t>html/sip-stepup.html</t>
        </is>
      </c>
      <c r="E29" s="30" t="inlineStr">
        <is>
          <t>Done</t>
        </is>
      </c>
      <c r="F29" s="30" t="inlineStr">
        <is>
          <t>P1</t>
        </is>
      </c>
      <c r="G29" s="30" t="inlineStr">
        <is>
          <t>S</t>
        </is>
      </c>
      <c r="H29" s="30" t="n">
        <v>6</v>
      </c>
      <c r="I29" s="30" t="inlineStr">
        <is>
          <t>tools/stepup</t>
        </is>
      </c>
      <c r="J29" s="30" t="inlineStr">
        <is>
          <t>Flat vs stepped-up SIP, scenario cards (5/10/15/20%), corpus chart, year table, milestones; parity-tested vs js/finos-sip-stepup.js incl. out-of-range inputs</t>
        </is>
      </c>
      <c r="K29" s="30" t="inlineStr">
        <is>
          <t>2026-10-12</t>
        </is>
      </c>
    </row>
    <row r="30" ht="15" customHeight="1" s="17">
      <c r="A30" s="30" t="inlineStr">
        <is>
          <t>T-29</t>
        </is>
      </c>
      <c r="B30" s="30" t="inlineStr">
        <is>
          <t>Trackers &amp; planners</t>
        </is>
      </c>
      <c r="C30" s="30" t="inlineStr">
        <is>
          <t>Tax Loss / Gain Harvesting</t>
        </is>
      </c>
      <c r="D30" s="30" t="inlineStr">
        <is>
          <t>html/tax-harvest.html</t>
        </is>
      </c>
      <c r="E30" s="30" t="inlineStr">
        <is>
          <t>Done</t>
        </is>
      </c>
      <c r="F30" s="30" t="inlineStr">
        <is>
          <t>P2</t>
        </is>
      </c>
      <c r="G30" s="30" t="inlineStr">
        <is>
          <t>M</t>
        </is>
      </c>
      <c r="H30" s="30" t="n"/>
      <c r="I30" s="30" t="inlineStr">
        <is>
          <t>app/tracker/harvest.tsx</t>
        </is>
      </c>
      <c r="J30" s="30" t="inlineStr">
        <is>
          <t>Holdings start empty (no demo positions); parity-tested vs js/finos-tax-harvest.js; both add 4% cess</t>
        </is>
      </c>
      <c r="K30" s="30" t="inlineStr">
        <is>
          <t>2026-10-13</t>
        </is>
      </c>
    </row>
    <row r="31" ht="15" customHeight="1" s="17">
      <c r="A31" s="30" t="inlineStr">
        <is>
          <t>T-30</t>
        </is>
      </c>
      <c r="B31" s="30" t="inlineStr">
        <is>
          <t>Trackers &amp; planners</t>
        </is>
      </c>
      <c r="C31" s="30" t="inlineStr">
        <is>
          <t>Bonus &amp; Windfall Allocator</t>
        </is>
      </c>
      <c r="D31" s="30" t="inlineStr">
        <is>
          <t>html/windfall.html</t>
        </is>
      </c>
      <c r="E31" s="30" t="inlineStr">
        <is>
          <t>Done</t>
        </is>
      </c>
      <c r="F31" s="30" t="inlineStr">
        <is>
          <t>P2</t>
        </is>
      </c>
      <c r="G31" s="30" t="inlineStr">
        <is>
          <t>S</t>
        </is>
      </c>
      <c r="H31" s="30" t="n"/>
      <c r="I31" s="30" t="inlineStr">
        <is>
          <t>tools/windfall</t>
        </is>
      </c>
      <c r="J31" s="30" t="inlineStr">
        <is>
          <t>Same waterfall as js/finos-windfall.js (parity-tested on 1,000 households) plus bonus/RSU tax impact; unknown spending is flagged instead of silently assuming ₹50,000; property note updated to the July 2024 rules.</t>
        </is>
      </c>
      <c r="K31" s="30" t="inlineStr">
        <is>
          <t>2026-10-12</t>
        </is>
      </c>
    </row>
    <row r="32" ht="15" customHeight="1" s="17">
      <c r="A32" s="30" t="inlineStr">
        <is>
          <t>T-31</t>
        </is>
      </c>
      <c r="B32" s="30" t="inlineStr">
        <is>
          <t>Trackers &amp; planners</t>
        </is>
      </c>
      <c r="C32" s="30" t="inlineStr">
        <is>
          <t>Tax (regime compare, Tax Savings Tracker, Tax Planner)</t>
        </is>
      </c>
      <c r="D32" s="30" t="inlineStr">
        <is>
          <t>html/tax.html</t>
        </is>
      </c>
      <c r="E32" s="30" t="inlineStr">
        <is>
          <t>Done</t>
        </is>
      </c>
      <c r="F32" s="30" t="inlineStr">
        <is>
          <t>P1</t>
        </is>
      </c>
      <c r="G32" s="30" t="inlineStr">
        <is>
          <t>L</t>
        </is>
      </c>
      <c r="H32" s="30" t="n">
        <v>4</v>
      </c>
      <c r="I32" s="30" t="inlineStr">
        <is>
          <t>tools/tax + tools/taxplanner</t>
        </is>
      </c>
      <c r="J32" s="30" t="inlineStr">
        <is>
          <t>Savings tracker (headroom per section) and the full Tax Planner (both regimes with surcharge, HRA, 80C/80D/NPS/24(b), LTCG/STCG, action list); parity-tested vs js/finos-tax-calc.js. Web surcharge fixed in the same pass (taxable income, new-regime top rate 25%).</t>
        </is>
      </c>
      <c r="K32" s="30" t="inlineStr">
        <is>
          <t>2026-10-12</t>
        </is>
      </c>
    </row>
    <row r="33" ht="15" customHeight="1" s="17">
      <c r="A33" s="30" t="inlineStr">
        <is>
          <t>T-32</t>
        </is>
      </c>
      <c r="B33" s="30" t="inlineStr">
        <is>
          <t>Trackers &amp; planners</t>
        </is>
      </c>
      <c r="C33" s="30" t="inlineStr">
        <is>
          <t>Money Score</t>
        </is>
      </c>
      <c r="D33" s="30" t="inlineStr">
        <is>
          <t>html/money-score.html</t>
        </is>
      </c>
      <c r="E33" s="30" t="inlineStr">
        <is>
          <t>Done</t>
        </is>
      </c>
      <c r="F33" s="30" t="inlineStr">
        <is>
          <t>P1</t>
        </is>
      </c>
      <c r="G33" s="30" t="inlineStr">
        <is>
          <t>L</t>
        </is>
      </c>
      <c r="H33" s="30" t="n"/>
      <c r="I33" s="30" t="inlineStr">
        <is>
          <t>tools/score</t>
        </is>
      </c>
      <c r="J33" s="30" t="inlineStr">
        <is>
          <t>Parity-tested against js/finos-money-score.js</t>
        </is>
      </c>
      <c r="K33" s="30" t="inlineStr">
        <is>
          <t>2026-10-12</t>
        </is>
      </c>
    </row>
    <row r="34" ht="15" customHeight="1" s="17">
      <c r="A34" s="30" t="inlineStr">
        <is>
          <t>T-33</t>
        </is>
      </c>
      <c r="B34" s="30" t="inlineStr">
        <is>
          <t>Trackers &amp; planners</t>
        </is>
      </c>
      <c r="C34" s="30" t="inlineStr">
        <is>
          <t>Future Loss / System Leak</t>
        </is>
      </c>
      <c r="D34" s="30" t="inlineStr">
        <is>
          <t>html/system-leak.html</t>
        </is>
      </c>
      <c r="E34" s="30" t="inlineStr">
        <is>
          <t>Done</t>
        </is>
      </c>
      <c r="F34" s="30" t="inlineStr">
        <is>
          <t>P1</t>
        </is>
      </c>
      <c r="G34" s="30" t="inlineStr">
        <is>
          <t>M</t>
        </is>
      </c>
      <c r="H34" s="30" t="n">
        <v>12</v>
      </c>
      <c r="I34" s="30" t="inlineStr">
        <is>
          <t>tools/leak</t>
        </is>
      </c>
      <c r="J34" s="30" t="inlineStr">
        <is>
          <t>Monthly leak from the ledger + subscriptions, 10/20/30-year future value, redirect share; parity-tested vs js/finos-leak.js</t>
        </is>
      </c>
      <c r="K34" s="30" t="inlineStr">
        <is>
          <t>2026-10-12</t>
        </is>
      </c>
    </row>
    <row r="35" ht="15" customHeight="1" s="17">
      <c r="A35" s="30" t="inlineStr">
        <is>
          <t>T-34</t>
        </is>
      </c>
      <c r="B35" s="30" t="inlineStr">
        <is>
          <t>Trackers &amp; planners</t>
        </is>
      </c>
      <c r="C35" s="30" t="inlineStr">
        <is>
          <t>Import bank statement</t>
        </is>
      </c>
      <c r="D35" s="30" t="inlineStr">
        <is>
          <t>html/import-statement.html</t>
        </is>
      </c>
      <c r="E35" s="30" t="inlineStr">
        <is>
          <t>Done</t>
        </is>
      </c>
      <c r="F35" s="30" t="inlineStr">
        <is>
          <t>P1</t>
        </is>
      </c>
      <c r="G35" s="30" t="inlineStr">
        <is>
          <t>M</t>
        </is>
      </c>
      <c r="H35" s="30" t="n"/>
      <c r="I35" s="30" t="inlineStr">
        <is>
          <t>tracker/import</t>
        </is>
      </c>
      <c r="J35" s="30" t="n"/>
      <c r="K35" s="30" t="inlineStr">
        <is>
          <t>2026-10-12</t>
        </is>
      </c>
    </row>
    <row r="36" ht="15" customHeight="1" s="17">
      <c r="A36" s="30" t="inlineStr">
        <is>
          <t>T-35</t>
        </is>
      </c>
      <c r="B36" s="30" t="inlineStr">
        <is>
          <t>Trackers &amp; planners</t>
        </is>
      </c>
      <c r="C36" s="30" t="inlineStr">
        <is>
          <t>Budget &amp; transactions (track finances)</t>
        </is>
      </c>
      <c r="D36" s="30" t="inlineStr">
        <is>
          <t>html/track-finances.html</t>
        </is>
      </c>
      <c r="E36" s="30" t="inlineStr">
        <is>
          <t>Done</t>
        </is>
      </c>
      <c r="F36" s="30" t="inlineStr">
        <is>
          <t>P1</t>
        </is>
      </c>
      <c r="G36" s="30" t="inlineStr">
        <is>
          <t>L</t>
        </is>
      </c>
      <c r="H36" s="30" t="n"/>
      <c r="I36" s="30" t="inlineStr">
        <is>
          <t>tracker/budget + transactions</t>
        </is>
      </c>
      <c r="J36" s="30" t="inlineStr">
        <is>
          <t>Quick-log and recurring entries are phone-only extras</t>
        </is>
      </c>
      <c r="K36" s="30" t="inlineStr">
        <is>
          <t>2026-10-12</t>
        </is>
      </c>
    </row>
    <row r="37" ht="15" customHeight="1" s="17">
      <c r="A37" s="30" t="inlineStr">
        <is>
          <t>T-36</t>
        </is>
      </c>
      <c r="B37" s="30" t="inlineStr">
        <is>
          <t>Trackers &amp; planners</t>
        </is>
      </c>
      <c r="C37" s="30" t="inlineStr">
        <is>
          <t>Financial Health Score (7 pillars)</t>
        </is>
      </c>
      <c r="D37" s="30" t="inlineStr">
        <is>
          <t>js/finos-health-score.js</t>
        </is>
      </c>
      <c r="E37" s="30" t="inlineStr">
        <is>
          <t>Done</t>
        </is>
      </c>
      <c r="F37" s="30" t="inlineStr">
        <is>
          <t>P1</t>
        </is>
      </c>
      <c r="G37" s="30" t="inlineStr">
        <is>
          <t>M</t>
        </is>
      </c>
      <c r="H37" s="30" t="n"/>
      <c r="I37" s="30" t="inlineStr">
        <is>
          <t>tracker/health</t>
        </is>
      </c>
      <c r="J37" s="30" t="inlineStr">
        <is>
          <t>Knowledge &amp; engagement pillar now fed from lessons marked learned (floor(count x 0.43), cap 6, plus streak points, cap 10), golden test against js/finos-health-score.js. The website previously counted only the array shape and so awarded nothing for what learn-ai.js writes; that was fixed on the website in the working tree (uncommitted).</t>
        </is>
      </c>
      <c r="K37" s="30" t="inlineStr">
        <is>
          <t>2026-10-15</t>
        </is>
      </c>
    </row>
    <row r="38" ht="15" customHeight="1" s="17">
      <c r="A38" s="30" t="inlineStr">
        <is>
          <t>T-37</t>
        </is>
      </c>
      <c r="B38" s="30" t="inlineStr">
        <is>
          <t>Trackers &amp; planners</t>
        </is>
      </c>
      <c r="C38" s="30" t="inlineStr">
        <is>
          <t>Financial Report</t>
        </is>
      </c>
      <c r="D38" s="30" t="inlineStr">
        <is>
          <t>html/financial-report.html</t>
        </is>
      </c>
      <c r="E38" s="30" t="inlineStr">
        <is>
          <t>Done</t>
        </is>
      </c>
      <c r="F38" s="30" t="inlineStr">
        <is>
          <t>P3</t>
        </is>
      </c>
      <c r="G38" s="30" t="inlineStr">
        <is>
          <t>M</t>
        </is>
      </c>
      <c r="H38" s="30" t="n"/>
      <c r="I38" s="30" t="inlineStr">
        <is>
          <t>app/tools/report.tsx</t>
        </is>
      </c>
      <c r="J38" s="30" t="inlineStr">
        <is>
          <t>Plain-text report via the share sheet; amounts can be left out. PDF needs a native module and a device to verify</t>
        </is>
      </c>
      <c r="K38" s="30" t="inlineStr">
        <is>
          <t>2026-10-14</t>
        </is>
      </c>
    </row>
    <row r="39" ht="15" customHeight="1" s="17">
      <c r="A39" s="30" t="inlineStr">
        <is>
          <t>T-38</t>
        </is>
      </c>
      <c r="B39" s="30" t="inlineStr">
        <is>
          <t>Trackers &amp; planners</t>
        </is>
      </c>
      <c r="C39" s="30" t="inlineStr">
        <is>
          <t>Couple Finance</t>
        </is>
      </c>
      <c r="D39" s="30" t="inlineStr">
        <is>
          <t>html/couple-finance.html</t>
        </is>
      </c>
      <c r="E39" s="30" t="inlineStr">
        <is>
          <t>Done</t>
        </is>
      </c>
      <c r="F39" s="30" t="inlineStr">
        <is>
          <t>P3</t>
        </is>
      </c>
      <c r="G39" s="30" t="inlineStr">
        <is>
          <t>L</t>
        </is>
      </c>
      <c r="H39" s="30" t="n"/>
      <c r="I39" s="30" t="inlineStr">
        <is>
          <t>tools/couple</t>
        </is>
      </c>
      <c r="J39" s="30" t="inlineStr">
        <is>
          <t>On-device arithmetic on figures typed for two people (app/plan/couple.tsx): joint income/spend/savings, proportional bill split, 15%-of-joint-income large-item flag, joint goals. Kept under a sync-excluded key. No account linking and no server tables needed.</t>
        </is>
      </c>
      <c r="K39" s="30" t="inlineStr">
        <is>
          <t>2026-10-15</t>
        </is>
      </c>
    </row>
    <row r="40" ht="15" customHeight="1" s="17">
      <c r="A40" s="30" t="inlineStr">
        <is>
          <t>T-39</t>
        </is>
      </c>
      <c r="B40" s="30" t="inlineStr">
        <is>
          <t>Trackers &amp; planners</t>
        </is>
      </c>
      <c r="C40" s="30" t="inlineStr">
        <is>
          <t>Benchmarking (vs similar profiles)</t>
        </is>
      </c>
      <c r="D40" s="30" t="inlineStr">
        <is>
          <t>html/benchmarking.html</t>
        </is>
      </c>
      <c r="E40" s="30" t="inlineStr">
        <is>
          <t>Done</t>
        </is>
      </c>
      <c r="F40" s="30" t="inlineStr">
        <is>
          <t>P3</t>
        </is>
      </c>
      <c r="G40" s="30" t="inlineStr">
        <is>
          <t>M</t>
        </is>
      </c>
      <c r="H40" s="30" t="n"/>
      <c r="I40" s="30" t="inlineStr">
        <is>
          <t>tools/benchmark</t>
        </is>
      </c>
      <c r="J40" s="30" t="inlineStr">
        <is>
          <t>Rule-of-thumb targets only (app/plan/benchmark.tsx): your own recorded figures against the Money Score targets, each labelled. Peer comparison deliberately not built: the website's "average peer / top 10%" table has no verifiable source.</t>
        </is>
      </c>
      <c r="K40" s="30" t="inlineStr">
        <is>
          <t>2026-10-15</t>
        </is>
      </c>
    </row>
    <row r="41" ht="15" customHeight="1" s="17">
      <c r="A41" s="30" t="inlineStr">
        <is>
          <t>T-40</t>
        </is>
      </c>
      <c r="B41" s="30" t="inlineStr">
        <is>
          <t>Trackers &amp; planners</t>
        </is>
      </c>
      <c r="C41" s="30" t="inlineStr">
        <is>
          <t>Document AI (upload and extract)</t>
        </is>
      </c>
      <c r="D41" s="30" t="inlineStr">
        <is>
          <t>html/document-ai.html</t>
        </is>
      </c>
      <c r="E41" s="30" t="inlineStr">
        <is>
          <t>Pending</t>
        </is>
      </c>
      <c r="F41" s="30" t="inlineStr">
        <is>
          <t>P3</t>
        </is>
      </c>
      <c r="G41" s="30" t="inlineStr">
        <is>
          <t>L</t>
        </is>
      </c>
      <c r="H41" s="30" t="n"/>
      <c r="I41" s="30" t="inlineStr">
        <is>
          <t>tools/documents</t>
        </is>
      </c>
      <c r="J41" s="30" t="inlineStr">
        <is>
          <t>Backend: document-ai service</t>
        </is>
      </c>
      <c r="K41" s="30" t="inlineStr">
        <is>
          <t>2026-10-12</t>
        </is>
      </c>
    </row>
    <row r="42" ht="15" customHeight="1" s="17">
      <c r="A42" s="30" t="inlineStr">
        <is>
          <t>C-01</t>
        </is>
      </c>
      <c r="B42" s="30" t="inlineStr">
        <is>
          <t>Calculators</t>
        </is>
      </c>
      <c r="C42" s="30" t="inlineStr">
        <is>
          <t>Banking &amp; Fixed Income — bond</t>
        </is>
      </c>
      <c r="D42" s="30" t="inlineStr">
        <is>
          <t>calculators/banking &amp; fixed income/bond.html</t>
        </is>
      </c>
      <c r="E42" s="30" t="inlineStr">
        <is>
          <t>Done</t>
        </is>
      </c>
      <c r="F42" s="30" t="inlineStr">
        <is>
          <t>P3</t>
        </is>
      </c>
      <c r="G42" s="30" t="inlineStr">
        <is>
          <t>S</t>
        </is>
      </c>
      <c r="H42" s="30" t="n"/>
      <c r="I42" s="30" t="inlineStr">
        <is>
          <t>app/tools/calc/bond</t>
        </is>
      </c>
      <c r="J42" s="30" t="inlineStr">
        <is>
          <t>Same formula and the same text as the page, checked by running the page script (webCalc.parity)</t>
        </is>
      </c>
      <c r="K42" s="30" t="inlineStr">
        <is>
          <t>2026-10-14</t>
        </is>
      </c>
    </row>
    <row r="43" ht="15" customHeight="1" s="17">
      <c r="A43" s="30" t="inlineStr">
        <is>
          <t>C-02</t>
        </is>
      </c>
      <c r="B43" s="30" t="inlineStr">
        <is>
          <t>Calculators</t>
        </is>
      </c>
      <c r="C43" s="30" t="inlineStr">
        <is>
          <t>Banking &amp; Fixed Income — epf</t>
        </is>
      </c>
      <c r="D43" s="30" t="inlineStr">
        <is>
          <t>calculators/banking &amp; fixed income/epf.html</t>
        </is>
      </c>
      <c r="E43" s="30" t="inlineStr">
        <is>
          <t>Done</t>
        </is>
      </c>
      <c r="F43" s="30" t="inlineStr">
        <is>
          <t>P3</t>
        </is>
      </c>
      <c r="G43" s="30" t="inlineStr">
        <is>
          <t>S</t>
        </is>
      </c>
      <c r="H43" s="30" t="n"/>
      <c r="I43" s="30" t="inlineStr">
        <is>
          <t>app/tracker/epf.tsx</t>
        </is>
      </c>
      <c r="J43" s="30" t="inlineStr">
        <is>
          <t>Website page redirects to the EPF tracker; the phone has it</t>
        </is>
      </c>
      <c r="K43" s="30" t="inlineStr">
        <is>
          <t>2026-10-14</t>
        </is>
      </c>
    </row>
    <row r="44" ht="15" customHeight="1" s="17">
      <c r="A44" s="30" t="inlineStr">
        <is>
          <t>C-03</t>
        </is>
      </c>
      <c r="B44" s="30" t="inlineStr">
        <is>
          <t>Calculators</t>
        </is>
      </c>
      <c r="C44" s="30" t="inlineStr">
        <is>
          <t>Banking &amp; Fixed Income — fd</t>
        </is>
      </c>
      <c r="D44" s="30" t="inlineStr">
        <is>
          <t>calculators/banking &amp; fixed income/fd.html</t>
        </is>
      </c>
      <c r="E44" s="30" t="inlineStr">
        <is>
          <t>Done</t>
        </is>
      </c>
      <c r="F44" s="30" t="inlineStr">
        <is>
          <t>P3</t>
        </is>
      </c>
      <c r="G44" s="30" t="inlineStr">
        <is>
          <t>S</t>
        </is>
      </c>
      <c r="H44" s="30" t="n"/>
      <c r="I44" s="30" t="inlineStr">
        <is>
          <t>app/tools/calc/fd</t>
        </is>
      </c>
      <c r="J44" s="30" t="inlineStr">
        <is>
          <t>Same formula and the same text as the page, checked by running the page script (webCalc.parity)</t>
        </is>
      </c>
      <c r="K44" s="30" t="inlineStr">
        <is>
          <t>2026-10-14</t>
        </is>
      </c>
    </row>
    <row r="45" ht="15" customHeight="1" s="17">
      <c r="A45" s="30" t="inlineStr">
        <is>
          <t>C-04</t>
        </is>
      </c>
      <c r="B45" s="30" t="inlineStr">
        <is>
          <t>Calculators</t>
        </is>
      </c>
      <c r="C45" s="30" t="inlineStr">
        <is>
          <t>Banking &amp; Fixed Income — nps</t>
        </is>
      </c>
      <c r="D45" s="30" t="inlineStr">
        <is>
          <t>calculators/banking &amp; fixed income/nps.html</t>
        </is>
      </c>
      <c r="E45" s="30" t="inlineStr">
        <is>
          <t>Done</t>
        </is>
      </c>
      <c r="F45" s="30" t="inlineStr">
        <is>
          <t>P3</t>
        </is>
      </c>
      <c r="G45" s="30" t="inlineStr">
        <is>
          <t>S</t>
        </is>
      </c>
      <c r="H45" s="30" t="n"/>
      <c r="I45" s="30" t="inlineStr">
        <is>
          <t>app/tracker/nps.tsx</t>
        </is>
      </c>
      <c r="J45" s="30" t="inlineStr">
        <is>
          <t>Website page redirects to the NPS tracker; the phone has it</t>
        </is>
      </c>
      <c r="K45" s="30" t="inlineStr">
        <is>
          <t>2026-10-14</t>
        </is>
      </c>
    </row>
    <row r="46" ht="15" customHeight="1" s="17">
      <c r="A46" s="30" t="inlineStr">
        <is>
          <t>C-05</t>
        </is>
      </c>
      <c r="B46" s="30" t="inlineStr">
        <is>
          <t>Calculators</t>
        </is>
      </c>
      <c r="C46" s="30" t="inlineStr">
        <is>
          <t>Banking &amp; Fixed Income — postoffice</t>
        </is>
      </c>
      <c r="D46" s="30" t="inlineStr">
        <is>
          <t>calculators/banking &amp; fixed income/postoffice.html</t>
        </is>
      </c>
      <c r="E46" s="30" t="inlineStr">
        <is>
          <t>Done</t>
        </is>
      </c>
      <c r="F46" s="30" t="inlineStr">
        <is>
          <t>P3</t>
        </is>
      </c>
      <c r="G46" s="30" t="inlineStr">
        <is>
          <t>S</t>
        </is>
      </c>
      <c r="H46" s="30" t="n"/>
      <c r="I46" s="30" t="inlineStr">
        <is>
          <t>app/tools/calc/postofficemis</t>
        </is>
      </c>
      <c r="J46" s="30" t="inlineStr">
        <is>
          <t>Same formula and the same text as the page, checked by running the page script (webCalc.parity)</t>
        </is>
      </c>
      <c r="K46" s="30" t="inlineStr">
        <is>
          <t>2026-10-14</t>
        </is>
      </c>
    </row>
    <row r="47" ht="15" customHeight="1" s="17">
      <c r="A47" s="30" t="inlineStr">
        <is>
          <t>C-06</t>
        </is>
      </c>
      <c r="B47" s="30" t="inlineStr">
        <is>
          <t>Calculators</t>
        </is>
      </c>
      <c r="C47" s="30" t="inlineStr">
        <is>
          <t>Banking &amp; Fixed Income — ppf</t>
        </is>
      </c>
      <c r="D47" s="30" t="inlineStr">
        <is>
          <t>calculators/banking &amp; fixed income/ppf.html</t>
        </is>
      </c>
      <c r="E47" s="30" t="inlineStr">
        <is>
          <t>Done</t>
        </is>
      </c>
      <c r="F47" s="30" t="inlineStr">
        <is>
          <t>P3</t>
        </is>
      </c>
      <c r="G47" s="30" t="inlineStr">
        <is>
          <t>S</t>
        </is>
      </c>
      <c r="H47" s="30" t="n"/>
      <c r="I47" s="30" t="inlineStr">
        <is>
          <t>app/tracker/ppf.tsx</t>
        </is>
      </c>
      <c r="J47" s="30" t="inlineStr">
        <is>
          <t>Website page redirects to the PPF tracker; the phone has it</t>
        </is>
      </c>
      <c r="K47" s="30" t="inlineStr">
        <is>
          <t>2026-10-14</t>
        </is>
      </c>
    </row>
    <row r="48" ht="15" customHeight="1" s="17">
      <c r="A48" s="30" t="inlineStr">
        <is>
          <t>C-07</t>
        </is>
      </c>
      <c r="B48" s="30" t="inlineStr">
        <is>
          <t>Calculators</t>
        </is>
      </c>
      <c r="C48" s="30" t="inlineStr">
        <is>
          <t>Banking &amp; Fixed Income — rd</t>
        </is>
      </c>
      <c r="D48" s="30" t="inlineStr">
        <is>
          <t>calculators/banking &amp; fixed income/rd.html</t>
        </is>
      </c>
      <c r="E48" s="30" t="inlineStr">
        <is>
          <t>Done</t>
        </is>
      </c>
      <c r="F48" s="30" t="inlineStr">
        <is>
          <t>P3</t>
        </is>
      </c>
      <c r="G48" s="30" t="inlineStr">
        <is>
          <t>S</t>
        </is>
      </c>
      <c r="H48" s="30" t="n"/>
      <c r="I48" s="30" t="inlineStr">
        <is>
          <t>app/tools/calc/rd</t>
        </is>
      </c>
      <c r="J48" s="30" t="inlineStr">
        <is>
          <t>Same formula and the same text as the page, checked by running the page script (webCalc.parity)</t>
        </is>
      </c>
      <c r="K48" s="30" t="inlineStr">
        <is>
          <t>2026-10-14</t>
        </is>
      </c>
    </row>
    <row r="49" ht="23.25" customHeight="1" s="17">
      <c r="A49" s="30" t="inlineStr">
        <is>
          <t>C-08</t>
        </is>
      </c>
      <c r="B49" s="30" t="inlineStr">
        <is>
          <t>Calculators</t>
        </is>
      </c>
      <c r="C49" s="30" t="inlineStr">
        <is>
          <t>Banking &amp; Fixed Income — savingsinvestment</t>
        </is>
      </c>
      <c r="D49" s="30" t="inlineStr">
        <is>
          <t>calculators/banking &amp; fixed income/savingsinvestment.html</t>
        </is>
      </c>
      <c r="E49" s="30" t="inlineStr">
        <is>
          <t>Done</t>
        </is>
      </c>
      <c r="F49" s="30" t="inlineStr">
        <is>
          <t>P3</t>
        </is>
      </c>
      <c r="G49" s="30" t="inlineStr">
        <is>
          <t>S</t>
        </is>
      </c>
      <c r="H49" s="30" t="n"/>
      <c r="I49" s="30" t="inlineStr">
        <is>
          <t>app/tools/calc/savingsvsinvest</t>
        </is>
      </c>
      <c r="J49" s="30" t="inlineStr">
        <is>
          <t>Same formula and the same text as the page, checked by running the page script (webCalc.parity)</t>
        </is>
      </c>
      <c r="K49" s="30" t="inlineStr">
        <is>
          <t>2026-10-14</t>
        </is>
      </c>
    </row>
    <row r="50" ht="15" customHeight="1" s="17">
      <c r="A50" s="30" t="inlineStr">
        <is>
          <t>C-09</t>
        </is>
      </c>
      <c r="B50" s="30" t="inlineStr">
        <is>
          <t>Calculators</t>
        </is>
      </c>
      <c r="C50" s="30" t="inlineStr">
        <is>
          <t>Banking &amp; Fixed Income — scss</t>
        </is>
      </c>
      <c r="D50" s="30" t="inlineStr">
        <is>
          <t>calculators/banking &amp; fixed income/scss.html</t>
        </is>
      </c>
      <c r="E50" s="30" t="inlineStr">
        <is>
          <t>Done</t>
        </is>
      </c>
      <c r="F50" s="30" t="inlineStr">
        <is>
          <t>P3</t>
        </is>
      </c>
      <c r="G50" s="30" t="inlineStr">
        <is>
          <t>S</t>
        </is>
      </c>
      <c r="H50" s="30" t="n"/>
      <c r="I50" s="30" t="inlineStr">
        <is>
          <t>app/tools/calc/scss</t>
        </is>
      </c>
      <c r="J50" s="30" t="inlineStr">
        <is>
          <t>Same formula and the same text as the page, checked by running the page script (webCalc.parity)</t>
        </is>
      </c>
      <c r="K50" s="30" t="inlineStr">
        <is>
          <t>2026-10-14</t>
        </is>
      </c>
    </row>
    <row r="51" ht="15" customHeight="1" s="17">
      <c r="A51" s="30" t="inlineStr">
        <is>
          <t>C-10</t>
        </is>
      </c>
      <c r="B51" s="30" t="inlineStr">
        <is>
          <t>Calculators</t>
        </is>
      </c>
      <c r="C51" s="30" t="inlineStr">
        <is>
          <t>Banking &amp; Fixed Income — ssy</t>
        </is>
      </c>
      <c r="D51" s="30" t="inlineStr">
        <is>
          <t>calculators/banking &amp; fixed income/ssy.html</t>
        </is>
      </c>
      <c r="E51" s="30" t="inlineStr">
        <is>
          <t>Done</t>
        </is>
      </c>
      <c r="F51" s="30" t="inlineStr">
        <is>
          <t>P3</t>
        </is>
      </c>
      <c r="G51" s="30" t="inlineStr">
        <is>
          <t>S</t>
        </is>
      </c>
      <c r="H51" s="30" t="n"/>
      <c r="I51" s="30" t="inlineStr">
        <is>
          <t>app/tools/calc/ssy</t>
        </is>
      </c>
      <c r="J51" s="30" t="inlineStr">
        <is>
          <t>Same formula and the same text as the page, checked by running the page script (webCalc.parity)</t>
        </is>
      </c>
      <c r="K51" s="30" t="inlineStr">
        <is>
          <t>2026-10-14</t>
        </is>
      </c>
    </row>
    <row r="52" ht="23.25" customHeight="1" s="17">
      <c r="A52" s="30" t="inlineStr">
        <is>
          <t>C-11</t>
        </is>
      </c>
      <c r="B52" s="30" t="inlineStr">
        <is>
          <t>Calculators</t>
        </is>
      </c>
      <c r="C52" s="30" t="inlineStr">
        <is>
          <t>Core-Thinking — compounding-visualizer</t>
        </is>
      </c>
      <c r="D52" s="30" t="inlineStr">
        <is>
          <t>calculators/core-thinking/compounding-visualizer.html</t>
        </is>
      </c>
      <c r="E52" s="30" t="inlineStr">
        <is>
          <t>Done</t>
        </is>
      </c>
      <c r="F52" s="30" t="inlineStr">
        <is>
          <t>P3</t>
        </is>
      </c>
      <c r="G52" s="30" t="inlineStr">
        <is>
          <t>S</t>
        </is>
      </c>
      <c r="H52" s="30" t="n"/>
      <c r="I52" s="30" t="inlineStr">
        <is>
          <t>app/tools/calc/compounding</t>
        </is>
      </c>
      <c r="J52" s="30" t="inlineStr">
        <is>
          <t>Same formula and the same text as the page, checked by running the page script (webCalc.parity)</t>
        </is>
      </c>
      <c r="K52" s="30" t="inlineStr">
        <is>
          <t>2026-10-14</t>
        </is>
      </c>
    </row>
    <row r="53" ht="23.25" customHeight="1" s="17">
      <c r="A53" s="30" t="inlineStr">
        <is>
          <t>C-12</t>
        </is>
      </c>
      <c r="B53" s="30" t="inlineStr">
        <is>
          <t>Calculators</t>
        </is>
      </c>
      <c r="C53" s="30" t="inlineStr">
        <is>
          <t>Core-Thinking — financial-age-calculator</t>
        </is>
      </c>
      <c r="D53" s="30" t="inlineStr">
        <is>
          <t>calculators/core-thinking/financial-age-calculator.html</t>
        </is>
      </c>
      <c r="E53" s="30" t="inlineStr">
        <is>
          <t>Done</t>
        </is>
      </c>
      <c r="F53" s="30" t="inlineStr">
        <is>
          <t>P3</t>
        </is>
      </c>
      <c r="G53" s="30" t="inlineStr">
        <is>
          <t>S</t>
        </is>
      </c>
      <c r="H53" s="30" t="n"/>
      <c r="I53" s="30" t="inlineStr">
        <is>
          <t>app/tools/calc/financialage</t>
        </is>
      </c>
      <c r="J53" s="30" t="inlineStr">
        <is>
          <t>Same formula and the same text as the page, checked by running the page script (webCalc.parity)</t>
        </is>
      </c>
      <c r="K53" s="30" t="inlineStr">
        <is>
          <t>2026-10-14</t>
        </is>
      </c>
    </row>
    <row r="54" ht="15" customHeight="1" s="17">
      <c r="A54" s="30" t="inlineStr">
        <is>
          <t>C-13</t>
        </is>
      </c>
      <c r="B54" s="30" t="inlineStr">
        <is>
          <t>Calculators</t>
        </is>
      </c>
      <c r="C54" s="30" t="inlineStr">
        <is>
          <t>Core-Thinking — inflation-impact</t>
        </is>
      </c>
      <c r="D54" s="30" t="inlineStr">
        <is>
          <t>calculators/core-thinking/inflation-impact.html</t>
        </is>
      </c>
      <c r="E54" s="30" t="inlineStr">
        <is>
          <t>Done</t>
        </is>
      </c>
      <c r="F54" s="30" t="inlineStr">
        <is>
          <t>P3</t>
        </is>
      </c>
      <c r="G54" s="30" t="inlineStr">
        <is>
          <t>S</t>
        </is>
      </c>
      <c r="H54" s="30" t="n"/>
      <c r="I54" s="30" t="inlineStr">
        <is>
          <t>app/tools/calc/inflationimpact</t>
        </is>
      </c>
      <c r="J54" s="30" t="inlineStr">
        <is>
          <t>Same formula and the same text as the page, checked by running the page script (webCalc.parity)</t>
        </is>
      </c>
      <c r="K54" s="30" t="inlineStr">
        <is>
          <t>2026-10-14</t>
        </is>
      </c>
    </row>
    <row r="55" ht="23.25" customHeight="1" s="17">
      <c r="A55" s="30" t="inlineStr">
        <is>
          <t>C-14</t>
        </is>
      </c>
      <c r="B55" s="30" t="inlineStr">
        <is>
          <t>Calculators</t>
        </is>
      </c>
      <c r="C55" s="30" t="inlineStr">
        <is>
          <t>Core-Thinking — money-behavior-analyzer</t>
        </is>
      </c>
      <c r="D55" s="30" t="inlineStr">
        <is>
          <t>calculators/core-thinking/money-behavior-analyzer.html</t>
        </is>
      </c>
      <c r="E55" s="30" t="inlineStr">
        <is>
          <t>Done</t>
        </is>
      </c>
      <c r="F55" s="30" t="inlineStr">
        <is>
          <t>P3</t>
        </is>
      </c>
      <c r="G55" s="30" t="inlineStr">
        <is>
          <t>S</t>
        </is>
      </c>
      <c r="H55" s="30" t="n"/>
      <c r="I55" s="30" t="inlineStr">
        <is>
          <t>app/tools/calc/moneybehavior</t>
        </is>
      </c>
      <c r="J55" s="30" t="inlineStr">
        <is>
          <t>Same formula and the same text as the page, checked by running the page script (webCalc.parity)</t>
        </is>
      </c>
      <c r="K55" s="30" t="inlineStr">
        <is>
          <t>2026-10-14</t>
        </is>
      </c>
    </row>
    <row r="56" ht="15" customHeight="1" s="17">
      <c r="A56" s="30" t="inlineStr">
        <is>
          <t>C-15</t>
        </is>
      </c>
      <c r="B56" s="30" t="inlineStr">
        <is>
          <t>Calculators</t>
        </is>
      </c>
      <c r="C56" s="30" t="inlineStr">
        <is>
          <t>Core-Thinking — opportunity-cost</t>
        </is>
      </c>
      <c r="D56" s="30" t="inlineStr">
        <is>
          <t>calculators/core-thinking/opportunity-cost.html</t>
        </is>
      </c>
      <c r="E56" s="30" t="inlineStr">
        <is>
          <t>Done</t>
        </is>
      </c>
      <c r="F56" s="30" t="inlineStr">
        <is>
          <t>P3</t>
        </is>
      </c>
      <c r="G56" s="30" t="inlineStr">
        <is>
          <t>S</t>
        </is>
      </c>
      <c r="H56" s="30" t="n"/>
      <c r="I56" s="30" t="inlineStr">
        <is>
          <t>app/tools/calc/opportunitycost</t>
        </is>
      </c>
      <c r="J56" s="30" t="inlineStr">
        <is>
          <t>Same formula and the same text as the page, checked by running the page script (webCalc.parity)</t>
        </is>
      </c>
      <c r="K56" s="30" t="inlineStr">
        <is>
          <t>2026-10-14</t>
        </is>
      </c>
    </row>
    <row r="57" ht="23.25" customHeight="1" s="17">
      <c r="A57" s="30" t="inlineStr">
        <is>
          <t>C-16</t>
        </is>
      </c>
      <c r="B57" s="30" t="inlineStr">
        <is>
          <t>Calculators</t>
        </is>
      </c>
      <c r="C57" s="30" t="inlineStr">
        <is>
          <t>Core-Thinking — purchasing-power-loss</t>
        </is>
      </c>
      <c r="D57" s="30" t="inlineStr">
        <is>
          <t>calculators/core-thinking/purchasing-power-loss.html</t>
        </is>
      </c>
      <c r="E57" s="30" t="inlineStr">
        <is>
          <t>Done</t>
        </is>
      </c>
      <c r="F57" s="30" t="inlineStr">
        <is>
          <t>P3</t>
        </is>
      </c>
      <c r="G57" s="30" t="inlineStr">
        <is>
          <t>S</t>
        </is>
      </c>
      <c r="H57" s="30" t="n"/>
      <c r="I57" s="30" t="inlineStr">
        <is>
          <t>app/tools/calc/purchasingpower</t>
        </is>
      </c>
      <c r="J57" s="30" t="inlineStr">
        <is>
          <t>Same formula and the same text as the page, checked by running the page script (webCalc.parity)</t>
        </is>
      </c>
      <c r="K57" s="30" t="inlineStr">
        <is>
          <t>2026-10-14</t>
        </is>
      </c>
    </row>
    <row r="58" ht="15" customHeight="1" s="17">
      <c r="A58" s="30" t="inlineStr">
        <is>
          <t>C-17</t>
        </is>
      </c>
      <c r="B58" s="30" t="inlineStr">
        <is>
          <t>Calculators</t>
        </is>
      </c>
      <c r="C58" s="30" t="inlineStr">
        <is>
          <t>Core-Thinking — real-rate-of-return</t>
        </is>
      </c>
      <c r="D58" s="30" t="inlineStr">
        <is>
          <t>calculators/core-thinking/real-rate-of-return.html</t>
        </is>
      </c>
      <c r="E58" s="30" t="inlineStr">
        <is>
          <t>Done</t>
        </is>
      </c>
      <c r="F58" s="30" t="inlineStr">
        <is>
          <t>P3</t>
        </is>
      </c>
      <c r="G58" s="30" t="inlineStr">
        <is>
          <t>S</t>
        </is>
      </c>
      <c r="H58" s="30" t="n"/>
      <c r="I58" s="30" t="inlineStr">
        <is>
          <t>app/tools/calc/realreturn</t>
        </is>
      </c>
      <c r="J58" s="30" t="inlineStr">
        <is>
          <t>Same formula and the same text as the page, checked by running the page script (webCalc.parity)</t>
        </is>
      </c>
      <c r="K58" s="30" t="inlineStr">
        <is>
          <t>2026-10-14</t>
        </is>
      </c>
    </row>
    <row r="59" ht="15" customHeight="1" s="17">
      <c r="A59" s="30" t="inlineStr">
        <is>
          <t>C-18</t>
        </is>
      </c>
      <c r="B59" s="30" t="inlineStr">
        <is>
          <t>Calculators</t>
        </is>
      </c>
      <c r="C59" s="30" t="inlineStr">
        <is>
          <t>Core-Thinking — risk-vs-reward</t>
        </is>
      </c>
      <c r="D59" s="30" t="inlineStr">
        <is>
          <t>calculators/core-thinking/risk-vs-reward.html</t>
        </is>
      </c>
      <c r="E59" s="30" t="inlineStr">
        <is>
          <t>Done</t>
        </is>
      </c>
      <c r="F59" s="30" t="inlineStr">
        <is>
          <t>P3</t>
        </is>
      </c>
      <c r="G59" s="30" t="inlineStr">
        <is>
          <t>S</t>
        </is>
      </c>
      <c r="H59" s="30" t="n"/>
      <c r="I59" s="30" t="inlineStr">
        <is>
          <t>app/tools/calc/riskreward</t>
        </is>
      </c>
      <c r="J59" s="30" t="inlineStr">
        <is>
          <t>Same formula and the same text as the page, checked by running the page script (webCalc.parity)</t>
        </is>
      </c>
      <c r="K59" s="30" t="inlineStr">
        <is>
          <t>2026-10-14</t>
        </is>
      </c>
    </row>
    <row r="60" ht="23.25" customHeight="1" s="17">
      <c r="A60" s="30" t="inlineStr">
        <is>
          <t>C-19</t>
        </is>
      </c>
      <c r="B60" s="30" t="inlineStr">
        <is>
          <t>Calculators</t>
        </is>
      </c>
      <c r="C60" s="30" t="inlineStr">
        <is>
          <t>Core-Thinking — time-value-of-money</t>
        </is>
      </c>
      <c r="D60" s="30" t="inlineStr">
        <is>
          <t>calculators/core-thinking/time-value-of-money.html</t>
        </is>
      </c>
      <c r="E60" s="30" t="inlineStr">
        <is>
          <t>Done</t>
        </is>
      </c>
      <c r="F60" s="30" t="inlineStr">
        <is>
          <t>P3</t>
        </is>
      </c>
      <c r="G60" s="30" t="inlineStr">
        <is>
          <t>S</t>
        </is>
      </c>
      <c r="H60" s="30" t="n"/>
      <c r="I60" s="30" t="inlineStr">
        <is>
          <t>app/tools/calc/timevalue</t>
        </is>
      </c>
      <c r="J60" s="30" t="inlineStr">
        <is>
          <t>Same formula and the same text as the page, checked by running the page script (webCalc.parity)</t>
        </is>
      </c>
      <c r="K60" s="30" t="inlineStr">
        <is>
          <t>2026-10-14</t>
        </is>
      </c>
    </row>
    <row r="61" ht="23.25" customHeight="1" s="17">
      <c r="A61" s="30" t="inlineStr">
        <is>
          <t>C-20</t>
        </is>
      </c>
      <c r="B61" s="30" t="inlineStr">
        <is>
          <t>Calculators</t>
        </is>
      </c>
      <c r="C61" s="30" t="inlineStr">
        <is>
          <t>Core-Thinking — wealth-vs-income-gap</t>
        </is>
      </c>
      <c r="D61" s="30" t="inlineStr">
        <is>
          <t>calculators/core-thinking/wealth-vs-income-gap.html</t>
        </is>
      </c>
      <c r="E61" s="30" t="inlineStr">
        <is>
          <t>Done</t>
        </is>
      </c>
      <c r="F61" s="30" t="inlineStr">
        <is>
          <t>P3</t>
        </is>
      </c>
      <c r="G61" s="30" t="inlineStr">
        <is>
          <t>S</t>
        </is>
      </c>
      <c r="H61" s="30" t="n"/>
      <c r="I61" s="30" t="inlineStr">
        <is>
          <t>app/tools/calc/wealthgap</t>
        </is>
      </c>
      <c r="J61" s="30" t="inlineStr">
        <is>
          <t>Same formula and the same text as the page, checked by running the page script (webCalc.parity)</t>
        </is>
      </c>
      <c r="K61" s="30" t="inlineStr">
        <is>
          <t>2026-10-14</t>
        </is>
      </c>
    </row>
    <row r="62" ht="15" customHeight="1" s="17">
      <c r="A62" s="30" t="inlineStr">
        <is>
          <t>C-21</t>
        </is>
      </c>
      <c r="B62" s="30" t="inlineStr">
        <is>
          <t>Calculators</t>
        </is>
      </c>
      <c r="C62" s="30" t="inlineStr">
        <is>
          <t>Desi Reality Check — buyhouse</t>
        </is>
      </c>
      <c r="D62" s="30" t="inlineStr">
        <is>
          <t>calculators/desi reality check/buyhouse.html</t>
        </is>
      </c>
      <c r="E62" s="30" t="inlineStr">
        <is>
          <t>Done</t>
        </is>
      </c>
      <c r="F62" s="30" t="inlineStr">
        <is>
          <t>P3</t>
        </is>
      </c>
      <c r="G62" s="30" t="inlineStr">
        <is>
          <t>S</t>
        </is>
      </c>
      <c r="H62" s="30" t="n"/>
      <c r="I62" s="30" t="inlineStr">
        <is>
          <t>app/tools/realestate.tsx</t>
        </is>
      </c>
      <c r="J62" s="30" t="inlineStr">
        <is>
          <t>Buy vs rent (corrected like-for-like model), true cost, rental yield; shared js/finos-real-estate.js; parity-tested</t>
        </is>
      </c>
      <c r="K62" s="30" t="inlineStr">
        <is>
          <t>2026-10-14</t>
        </is>
      </c>
    </row>
    <row r="63" ht="15" customHeight="1" s="17">
      <c r="A63" s="30" t="inlineStr">
        <is>
          <t>C-22</t>
        </is>
      </c>
      <c r="B63" s="30" t="inlineStr">
        <is>
          <t>Calculators</t>
        </is>
      </c>
      <c r="C63" s="30" t="inlineStr">
        <is>
          <t>Desi Reality Check — childedu</t>
        </is>
      </c>
      <c r="D63" s="30" t="inlineStr">
        <is>
          <t>calculators/desi reality check/childedu.html</t>
        </is>
      </c>
      <c r="E63" s="30" t="inlineStr">
        <is>
          <t>Done</t>
        </is>
      </c>
      <c r="F63" s="30" t="inlineStr">
        <is>
          <t>P3</t>
        </is>
      </c>
      <c r="G63" s="30" t="inlineStr">
        <is>
          <t>S</t>
        </is>
      </c>
      <c r="H63" s="30" t="n"/>
      <c r="I63" s="30" t="inlineStr">
        <is>
          <t>app/tools/calc/childedu</t>
        </is>
      </c>
      <c r="J63" s="30" t="inlineStr">
        <is>
          <t>Same formula and the same text as the page, checked by running the page script (webCalc.parity)</t>
        </is>
      </c>
      <c r="K63" s="30" t="inlineStr">
        <is>
          <t>2026-10-14</t>
        </is>
      </c>
    </row>
    <row r="64" ht="15" customHeight="1" s="17">
      <c r="A64" s="30" t="inlineStr">
        <is>
          <t>C-23</t>
        </is>
      </c>
      <c r="B64" s="30" t="inlineStr">
        <is>
          <t>Calculators</t>
        </is>
      </c>
      <c r="C64" s="30" t="inlineStr">
        <is>
          <t>Desi Reality Check — creditaddiction</t>
        </is>
      </c>
      <c r="D64" s="30" t="inlineStr">
        <is>
          <t>calculators/desi reality check/creditaddiction.html</t>
        </is>
      </c>
      <c r="E64" s="30" t="inlineStr">
        <is>
          <t>Done</t>
        </is>
      </c>
      <c r="F64" s="30" t="inlineStr">
        <is>
          <t>P3</t>
        </is>
      </c>
      <c r="G64" s="30" t="inlineStr">
        <is>
          <t>S</t>
        </is>
      </c>
      <c r="H64" s="30" t="n"/>
      <c r="I64" s="30" t="inlineStr">
        <is>
          <t>app/tools/calc/creditaddiction</t>
        </is>
      </c>
      <c r="J64" s="30" t="inlineStr">
        <is>
          <t>Same formula and the same text as the page, checked by running the page script (webCalc.parity)</t>
        </is>
      </c>
      <c r="K64" s="30" t="inlineStr">
        <is>
          <t>2026-10-14</t>
        </is>
      </c>
    </row>
    <row r="65" ht="15" customHeight="1" s="17">
      <c r="A65" s="30" t="inlineStr">
        <is>
          <t>C-24</t>
        </is>
      </c>
      <c r="B65" s="30" t="inlineStr">
        <is>
          <t>Calculators</t>
        </is>
      </c>
      <c r="C65" s="30" t="inlineStr">
        <is>
          <t>Desi Reality Check — emidiease</t>
        </is>
      </c>
      <c r="D65" s="30" t="inlineStr">
        <is>
          <t>calculators/desi reality check/emidiease.html</t>
        </is>
      </c>
      <c r="E65" s="30" t="inlineStr">
        <is>
          <t>Done</t>
        </is>
      </c>
      <c r="F65" s="30" t="inlineStr">
        <is>
          <t>P3</t>
        </is>
      </c>
      <c r="G65" s="30" t="inlineStr">
        <is>
          <t>S</t>
        </is>
      </c>
      <c r="H65" s="30" t="n"/>
      <c r="I65" s="30" t="inlineStr">
        <is>
          <t>app/tools/calc/emidisease</t>
        </is>
      </c>
      <c r="J65" s="30" t="inlineStr">
        <is>
          <t>Same formula and the same text as the page, checked by running the page script (webCalc.parity)</t>
        </is>
      </c>
      <c r="K65" s="30" t="inlineStr">
        <is>
          <t>2026-10-14</t>
        </is>
      </c>
    </row>
    <row r="66" ht="15" customHeight="1" s="17">
      <c r="A66" s="30" t="inlineStr">
        <is>
          <t>C-25</t>
        </is>
      </c>
      <c r="B66" s="30" t="inlineStr">
        <is>
          <t>Calculators</t>
        </is>
      </c>
      <c r="C66" s="30" t="inlineStr">
        <is>
          <t>Desi Reality Check — govvspvt</t>
        </is>
      </c>
      <c r="D66" s="30" t="inlineStr">
        <is>
          <t>calculators/desi reality check/govvspvt.html</t>
        </is>
      </c>
      <c r="E66" s="30" t="inlineStr">
        <is>
          <t>Done</t>
        </is>
      </c>
      <c r="F66" s="30" t="inlineStr">
        <is>
          <t>P3</t>
        </is>
      </c>
      <c r="G66" s="30" t="inlineStr">
        <is>
          <t>S</t>
        </is>
      </c>
      <c r="H66" s="30" t="n"/>
      <c r="I66" s="30" t="inlineStr">
        <is>
          <t>app/tools/calc/govtvsprivate</t>
        </is>
      </c>
      <c r="J66" s="30" t="inlineStr">
        <is>
          <t>Same formula and the same text as the page, checked by running the page script (webCalc.parity)</t>
        </is>
      </c>
      <c r="K66" s="30" t="inlineStr">
        <is>
          <t>2026-10-14</t>
        </is>
      </c>
    </row>
    <row r="67" ht="15" customHeight="1" s="17">
      <c r="A67" s="30" t="inlineStr">
        <is>
          <t>C-26</t>
        </is>
      </c>
      <c r="B67" s="30" t="inlineStr">
        <is>
          <t>Calculators</t>
        </is>
      </c>
      <c r="C67" s="30" t="inlineStr">
        <is>
          <t>Desi Reality Check — lifestyle</t>
        </is>
      </c>
      <c r="D67" s="30" t="inlineStr">
        <is>
          <t>calculators/desi reality check/lifestyle.html</t>
        </is>
      </c>
      <c r="E67" s="30" t="inlineStr">
        <is>
          <t>Done</t>
        </is>
      </c>
      <c r="F67" s="30" t="inlineStr">
        <is>
          <t>P3</t>
        </is>
      </c>
      <c r="G67" s="30" t="inlineStr">
        <is>
          <t>S</t>
        </is>
      </c>
      <c r="H67" s="30" t="n"/>
      <c r="I67" s="30" t="inlineStr">
        <is>
          <t>app/tools/calc/lifestylecreep</t>
        </is>
      </c>
      <c r="J67" s="30" t="inlineStr">
        <is>
          <t>Same formula and the same text as the page, checked by running the page script (webCalc.parity)</t>
        </is>
      </c>
      <c r="K67" s="30" t="inlineStr">
        <is>
          <t>2026-10-14</t>
        </is>
      </c>
    </row>
    <row r="68" ht="15" customHeight="1" s="17">
      <c r="A68" s="30" t="inlineStr">
        <is>
          <t>C-27</t>
        </is>
      </c>
      <c r="B68" s="30" t="inlineStr">
        <is>
          <t>Calculators</t>
        </is>
      </c>
      <c r="C68" s="30" t="inlineStr">
        <is>
          <t>Desi Reality Check — logkyakahenge</t>
        </is>
      </c>
      <c r="D68" s="30" t="inlineStr">
        <is>
          <t>calculators/desi reality check/logkyakahenge.html</t>
        </is>
      </c>
      <c r="E68" s="30" t="inlineStr">
        <is>
          <t>Done</t>
        </is>
      </c>
      <c r="F68" s="30" t="inlineStr">
        <is>
          <t>P3</t>
        </is>
      </c>
      <c r="G68" s="30" t="inlineStr">
        <is>
          <t>S</t>
        </is>
      </c>
      <c r="H68" s="30" t="n"/>
      <c r="I68" s="30" t="inlineStr">
        <is>
          <t>app/tools/calc/logkyakahenge</t>
        </is>
      </c>
      <c r="J68" s="30" t="inlineStr">
        <is>
          <t>Same formula and the same text as the page, checked by running the page script (webCalc.parity)</t>
        </is>
      </c>
      <c r="K68" s="30" t="inlineStr">
        <is>
          <t>2026-10-14</t>
        </is>
      </c>
    </row>
    <row r="69" ht="15" customHeight="1" s="17">
      <c r="A69" s="30" t="inlineStr">
        <is>
          <t>C-28</t>
        </is>
      </c>
      <c r="B69" s="30" t="inlineStr">
        <is>
          <t>Calculators</t>
        </is>
      </c>
      <c r="C69" s="30" t="inlineStr">
        <is>
          <t>Desi Reality Check — middleclass</t>
        </is>
      </c>
      <c r="D69" s="30" t="inlineStr">
        <is>
          <t>calculators/desi reality check/middleclass.html</t>
        </is>
      </c>
      <c r="E69" s="30" t="inlineStr">
        <is>
          <t>Done</t>
        </is>
      </c>
      <c r="F69" s="30" t="inlineStr">
        <is>
          <t>P3</t>
        </is>
      </c>
      <c r="G69" s="30" t="inlineStr">
        <is>
          <t>S</t>
        </is>
      </c>
      <c r="H69" s="30" t="n"/>
      <c r="I69" s="30" t="inlineStr">
        <is>
          <t>app/tools/calc/middleclass</t>
        </is>
      </c>
      <c r="J69" s="30" t="inlineStr">
        <is>
          <t>Same formula and the same text as the page, checked by running the page script (webCalc.parity)</t>
        </is>
      </c>
      <c r="K69" s="30" t="inlineStr">
        <is>
          <t>2026-10-14</t>
        </is>
      </c>
    </row>
    <row r="70" ht="15" customHeight="1" s="17">
      <c r="A70" s="30" t="inlineStr">
        <is>
          <t>C-29</t>
        </is>
      </c>
      <c r="B70" s="30" t="inlineStr">
        <is>
          <t>Calculators</t>
        </is>
      </c>
      <c r="C70" s="30" t="inlineStr">
        <is>
          <t>Desi Reality Check — parental</t>
        </is>
      </c>
      <c r="D70" s="30" t="inlineStr">
        <is>
          <t>calculators/desi reality check/parental.html</t>
        </is>
      </c>
      <c r="E70" s="30" t="inlineStr">
        <is>
          <t>Done</t>
        </is>
      </c>
      <c r="F70" s="30" t="inlineStr">
        <is>
          <t>P3</t>
        </is>
      </c>
      <c r="G70" s="30" t="inlineStr">
        <is>
          <t>S</t>
        </is>
      </c>
      <c r="H70" s="30" t="n"/>
      <c r="I70" s="30" t="inlineStr">
        <is>
          <t>app/tools/calc/parental</t>
        </is>
      </c>
      <c r="J70" s="30" t="inlineStr">
        <is>
          <t>Same formula and the same text as the page, checked by running the page script (webCalc.parity)</t>
        </is>
      </c>
      <c r="K70" s="30" t="inlineStr">
        <is>
          <t>2026-10-14</t>
        </is>
      </c>
    </row>
    <row r="71" ht="15" customHeight="1" s="17">
      <c r="A71" s="30" t="inlineStr">
        <is>
          <t>C-30</t>
        </is>
      </c>
      <c r="B71" s="30" t="inlineStr">
        <is>
          <t>Calculators</t>
        </is>
      </c>
      <c r="C71" s="30" t="inlineStr">
        <is>
          <t>Desi Reality Check — shaadicost</t>
        </is>
      </c>
      <c r="D71" s="30" t="inlineStr">
        <is>
          <t>calculators/desi reality check/shaadicost.html</t>
        </is>
      </c>
      <c r="E71" s="30" t="inlineStr">
        <is>
          <t>Done</t>
        </is>
      </c>
      <c r="F71" s="30" t="inlineStr">
        <is>
          <t>P3</t>
        </is>
      </c>
      <c r="G71" s="30" t="inlineStr">
        <is>
          <t>S</t>
        </is>
      </c>
      <c r="H71" s="30" t="n"/>
      <c r="I71" s="30" t="inlineStr">
        <is>
          <t>app/tools/calc/shaadicost</t>
        </is>
      </c>
      <c r="J71" s="30" t="inlineStr">
        <is>
          <t>Same formula and the same text as the page, checked by running the page script (webCalc.parity)</t>
        </is>
      </c>
      <c r="K71" s="30" t="inlineStr">
        <is>
          <t>2026-10-14</t>
        </is>
      </c>
    </row>
    <row r="72" ht="15" customHeight="1" s="17">
      <c r="A72" s="30" t="inlineStr">
        <is>
          <t>C-31</t>
        </is>
      </c>
      <c r="B72" s="30" t="inlineStr">
        <is>
          <t>Calculators</t>
        </is>
      </c>
      <c r="C72" s="30" t="inlineStr">
        <is>
          <t>Financial Health — emergencyfund</t>
        </is>
      </c>
      <c r="D72" s="30" t="inlineStr">
        <is>
          <t>calculators/financial health/emergencyfund.html</t>
        </is>
      </c>
      <c r="E72" s="30" t="inlineStr">
        <is>
          <t>Done</t>
        </is>
      </c>
      <c r="F72" s="30" t="inlineStr">
        <is>
          <t>P3</t>
        </is>
      </c>
      <c r="G72" s="30" t="inlineStr">
        <is>
          <t>S</t>
        </is>
      </c>
      <c r="H72" s="30" t="n"/>
      <c r="I72" s="30" t="inlineStr">
        <is>
          <t>app/tracker/emergency.tsx</t>
        </is>
      </c>
      <c r="J72" s="30" t="inlineStr">
        <is>
          <t>Website page redirects to the Emergency Fund tracker; the phone has it</t>
        </is>
      </c>
      <c r="K72" s="30" t="inlineStr">
        <is>
          <t>2026-10-14</t>
        </is>
      </c>
    </row>
    <row r="73" ht="15" customHeight="1" s="17">
      <c r="A73" s="30" t="inlineStr">
        <is>
          <t>C-32</t>
        </is>
      </c>
      <c r="B73" s="30" t="inlineStr">
        <is>
          <t>Calculators</t>
        </is>
      </c>
      <c r="C73" s="30" t="inlineStr">
        <is>
          <t>Financial Health — expenseratio</t>
        </is>
      </c>
      <c r="D73" s="30" t="inlineStr">
        <is>
          <t>calculators/financial health/expenseratio.html</t>
        </is>
      </c>
      <c r="E73" s="30" t="inlineStr">
        <is>
          <t>Done</t>
        </is>
      </c>
      <c r="F73" s="30" t="inlineStr">
        <is>
          <t>P3</t>
        </is>
      </c>
      <c r="G73" s="30" t="inlineStr">
        <is>
          <t>S</t>
        </is>
      </c>
      <c r="H73" s="30" t="n"/>
      <c r="I73" s="30" t="inlineStr">
        <is>
          <t>app/tools/calc/expenseratio</t>
        </is>
      </c>
      <c r="J73" s="30" t="inlineStr">
        <is>
          <t>Same formula and the same text as the page, checked by running the page script (webCalc.parity)</t>
        </is>
      </c>
      <c r="K73" s="30" t="inlineStr">
        <is>
          <t>2026-10-14</t>
        </is>
      </c>
    </row>
    <row r="74" ht="15" customHeight="1" s="17">
      <c r="A74" s="30" t="inlineStr">
        <is>
          <t>C-33</t>
        </is>
      </c>
      <c r="B74" s="30" t="inlineStr">
        <is>
          <t>Calculators</t>
        </is>
      </c>
      <c r="C74" s="30" t="inlineStr">
        <is>
          <t>Financial Health — insurancecoverage</t>
        </is>
      </c>
      <c r="D74" s="30" t="inlineStr">
        <is>
          <t>calculators/financial health/insurancecoverage.html</t>
        </is>
      </c>
      <c r="E74" s="30" t="inlineStr">
        <is>
          <t>Done</t>
        </is>
      </c>
      <c r="F74" s="30" t="inlineStr">
        <is>
          <t>P3</t>
        </is>
      </c>
      <c r="G74" s="30" t="inlineStr">
        <is>
          <t>S</t>
        </is>
      </c>
      <c r="H74" s="30" t="n"/>
      <c r="I74" s="30" t="inlineStr">
        <is>
          <t>app/tools/calc/insurancecoverage</t>
        </is>
      </c>
      <c r="J74" s="30" t="inlineStr">
        <is>
          <t>Same formula and the same text as the page, checked by running the page script (webCalc.parity)</t>
        </is>
      </c>
      <c r="K74" s="30" t="inlineStr">
        <is>
          <t>2026-10-14</t>
        </is>
      </c>
    </row>
    <row r="75" ht="15" customHeight="1" s="17">
      <c r="A75" s="30" t="inlineStr">
        <is>
          <t>C-34</t>
        </is>
      </c>
      <c r="B75" s="30" t="inlineStr">
        <is>
          <t>Calculators</t>
        </is>
      </c>
      <c r="C75" s="30" t="inlineStr">
        <is>
          <t>Financial Health — lifestyle</t>
        </is>
      </c>
      <c r="D75" s="30" t="inlineStr">
        <is>
          <t>calculators/financial health/lifestyle.html</t>
        </is>
      </c>
      <c r="E75" s="30" t="inlineStr">
        <is>
          <t>Done</t>
        </is>
      </c>
      <c r="F75" s="30" t="inlineStr">
        <is>
          <t>P3</t>
        </is>
      </c>
      <c r="G75" s="30" t="inlineStr">
        <is>
          <t>S</t>
        </is>
      </c>
      <c r="H75" s="30" t="n"/>
      <c r="I75" s="30" t="inlineStr">
        <is>
          <t>app/tools/calc/lifestylecreep</t>
        </is>
      </c>
      <c r="J75" s="30" t="inlineStr">
        <is>
          <t>Website page redirects to the Lifestyle Inflation Detector (desi) which is ported</t>
        </is>
      </c>
      <c r="K75" s="30" t="inlineStr">
        <is>
          <t>2026-10-14</t>
        </is>
      </c>
    </row>
    <row r="76" ht="15" customHeight="1" s="17">
      <c r="A76" s="30" t="inlineStr">
        <is>
          <t>C-35</t>
        </is>
      </c>
      <c r="B76" s="30" t="inlineStr">
        <is>
          <t>Calculators</t>
        </is>
      </c>
      <c r="C76" s="30" t="inlineStr">
        <is>
          <t>Financial Health — networth</t>
        </is>
      </c>
      <c r="D76" s="30" t="inlineStr">
        <is>
          <t>calculators/financial health/networth.html</t>
        </is>
      </c>
      <c r="E76" s="30" t="inlineStr">
        <is>
          <t>Done</t>
        </is>
      </c>
      <c r="F76" s="30" t="inlineStr">
        <is>
          <t>P3</t>
        </is>
      </c>
      <c r="G76" s="30" t="inlineStr">
        <is>
          <t>S</t>
        </is>
      </c>
      <c r="H76" s="30" t="n"/>
      <c r="I76" s="30" t="inlineStr">
        <is>
          <t>app/tracker/networth.tsx</t>
        </is>
      </c>
      <c r="J76" s="30" t="inlineStr">
        <is>
          <t>Website page redirects to Net Worth; the phone has it</t>
        </is>
      </c>
      <c r="K76" s="30" t="inlineStr">
        <is>
          <t>2026-10-14</t>
        </is>
      </c>
    </row>
    <row r="77" ht="15" customHeight="1" s="17">
      <c r="A77" s="30" t="inlineStr">
        <is>
          <t>C-36</t>
        </is>
      </c>
      <c r="B77" s="30" t="inlineStr">
        <is>
          <t>Calculators</t>
        </is>
      </c>
      <c r="C77" s="30" t="inlineStr">
        <is>
          <t>Financial Health — savings</t>
        </is>
      </c>
      <c r="D77" s="30" t="inlineStr">
        <is>
          <t>calculators/financial health/savings.html</t>
        </is>
      </c>
      <c r="E77" s="30" t="inlineStr">
        <is>
          <t>Done</t>
        </is>
      </c>
      <c r="F77" s="30" t="inlineStr">
        <is>
          <t>P3</t>
        </is>
      </c>
      <c r="G77" s="30" t="inlineStr">
        <is>
          <t>S</t>
        </is>
      </c>
      <c r="H77" s="30" t="n"/>
      <c r="I77" s="30" t="inlineStr">
        <is>
          <t>app/tools/calc/savingsrate</t>
        </is>
      </c>
      <c r="J77" s="30" t="inlineStr">
        <is>
          <t>Same formula and the same text as the page, checked by running the page script (webCalc.parity)</t>
        </is>
      </c>
      <c r="K77" s="30" t="inlineStr">
        <is>
          <t>2026-10-14</t>
        </is>
      </c>
    </row>
    <row r="78" ht="15" customHeight="1" s="17">
      <c r="A78" s="30" t="inlineStr">
        <is>
          <t>C-37</t>
        </is>
      </c>
      <c r="B78" s="30" t="inlineStr">
        <is>
          <t>Calculators</t>
        </is>
      </c>
      <c r="C78" s="30" t="inlineStr">
        <is>
          <t>Investment &amp; Wealth — assetalloc</t>
        </is>
      </c>
      <c r="D78" s="30" t="inlineStr">
        <is>
          <t>calculators/investment &amp; wealth/assetalloc.html</t>
        </is>
      </c>
      <c r="E78" s="30" t="inlineStr">
        <is>
          <t>Done</t>
        </is>
      </c>
      <c r="F78" s="30" t="inlineStr">
        <is>
          <t>P3</t>
        </is>
      </c>
      <c r="G78" s="30" t="inlineStr">
        <is>
          <t>S</t>
        </is>
      </c>
      <c r="H78" s="30" t="n"/>
      <c r="I78" s="30" t="inlineStr">
        <is>
          <t>app/tools/calc/assetalloc</t>
        </is>
      </c>
      <c r="J78" s="30" t="inlineStr">
        <is>
          <t>Same formula and the same text as the page, checked by running the page script (webCalc.parity)</t>
        </is>
      </c>
      <c r="K78" s="30" t="inlineStr">
        <is>
          <t>2026-10-14</t>
        </is>
      </c>
    </row>
    <row r="79" ht="15" customHeight="1" s="17">
      <c r="A79" s="30" t="inlineStr">
        <is>
          <t>C-38</t>
        </is>
      </c>
      <c r="B79" s="30" t="inlineStr">
        <is>
          <t>Calculators</t>
        </is>
      </c>
      <c r="C79" s="30" t="inlineStr">
        <is>
          <t>Investment &amp; Wealth — cagr</t>
        </is>
      </c>
      <c r="D79" s="30" t="inlineStr">
        <is>
          <t>calculators/investment &amp; wealth/cagr.html</t>
        </is>
      </c>
      <c r="E79" s="30" t="inlineStr">
        <is>
          <t>Done</t>
        </is>
      </c>
      <c r="F79" s="30" t="inlineStr">
        <is>
          <t>P3</t>
        </is>
      </c>
      <c r="G79" s="30" t="inlineStr">
        <is>
          <t>S</t>
        </is>
      </c>
      <c r="H79" s="30" t="n"/>
      <c r="I79" s="30" t="inlineStr">
        <is>
          <t>app/tools/calc/cagr</t>
        </is>
      </c>
      <c r="J79" s="30" t="inlineStr">
        <is>
          <t>Same formula and the same text as the page, checked by running the page script (webCalc.parity)</t>
        </is>
      </c>
      <c r="K79" s="30" t="inlineStr">
        <is>
          <t>2026-10-14</t>
        </is>
      </c>
    </row>
    <row r="80" ht="15" customHeight="1" s="17">
      <c r="A80" s="30" t="inlineStr">
        <is>
          <t>C-39</t>
        </is>
      </c>
      <c r="B80" s="30" t="inlineStr">
        <is>
          <t>Calculators</t>
        </is>
      </c>
      <c r="C80" s="30" t="inlineStr">
        <is>
          <t>Investment &amp; Wealth — dividend</t>
        </is>
      </c>
      <c r="D80" s="30" t="inlineStr">
        <is>
          <t>calculators/investment &amp; wealth/dividend.html</t>
        </is>
      </c>
      <c r="E80" s="30" t="inlineStr">
        <is>
          <t>Done</t>
        </is>
      </c>
      <c r="F80" s="30" t="inlineStr">
        <is>
          <t>P3</t>
        </is>
      </c>
      <c r="G80" s="30" t="inlineStr">
        <is>
          <t>S</t>
        </is>
      </c>
      <c r="H80" s="30" t="n"/>
      <c r="I80" s="30" t="inlineStr">
        <is>
          <t>app/tools/calc/dividend</t>
        </is>
      </c>
      <c r="J80" s="30" t="inlineStr">
        <is>
          <t>Same formula and the same text as the page, checked by running the page script (webCalc.parity)</t>
        </is>
      </c>
      <c r="K80" s="30" t="inlineStr">
        <is>
          <t>2026-10-14</t>
        </is>
      </c>
    </row>
    <row r="81" ht="15" customHeight="1" s="17">
      <c r="A81" s="30" t="inlineStr">
        <is>
          <t>C-40</t>
        </is>
      </c>
      <c r="B81" s="30" t="inlineStr">
        <is>
          <t>Calculators</t>
        </is>
      </c>
      <c r="C81" s="30" t="inlineStr">
        <is>
          <t>Investment &amp; Wealth — etf</t>
        </is>
      </c>
      <c r="D81" s="30" t="inlineStr">
        <is>
          <t>calculators/investment &amp; wealth/etf.html</t>
        </is>
      </c>
      <c r="E81" s="30" t="inlineStr">
        <is>
          <t>Done</t>
        </is>
      </c>
      <c r="F81" s="30" t="inlineStr">
        <is>
          <t>P3</t>
        </is>
      </c>
      <c r="G81" s="30" t="inlineStr">
        <is>
          <t>S</t>
        </is>
      </c>
      <c r="H81" s="30" t="n"/>
      <c r="I81" s="30" t="inlineStr">
        <is>
          <t>app/tools/calc/etf</t>
        </is>
      </c>
      <c r="J81" s="30" t="inlineStr">
        <is>
          <t>Same formula and the same text as the page, checked by running the page script (webCalc.parity)</t>
        </is>
      </c>
      <c r="K81" s="30" t="inlineStr">
        <is>
          <t>2026-10-14</t>
        </is>
      </c>
    </row>
    <row r="82" ht="15" customHeight="1" s="17">
      <c r="A82" s="30" t="inlineStr">
        <is>
          <t>C-41</t>
        </is>
      </c>
      <c r="B82" s="30" t="inlineStr">
        <is>
          <t>Calculators</t>
        </is>
      </c>
      <c r="C82" s="30" t="inlineStr">
        <is>
          <t>Investment &amp; Wealth — goalbased</t>
        </is>
      </c>
      <c r="D82" s="30" t="inlineStr">
        <is>
          <t>calculators/investment &amp; wealth/goalbased.html</t>
        </is>
      </c>
      <c r="E82" s="30" t="inlineStr">
        <is>
          <t>Done</t>
        </is>
      </c>
      <c r="F82" s="30" t="inlineStr">
        <is>
          <t>P3</t>
        </is>
      </c>
      <c r="G82" s="30" t="inlineStr">
        <is>
          <t>S</t>
        </is>
      </c>
      <c r="H82" s="30" t="n"/>
      <c r="I82" s="30" t="inlineStr">
        <is>
          <t>app/tools/goalopt.tsx</t>
        </is>
      </c>
      <c r="J82" s="30" t="inlineStr">
        <is>
          <t>Website page redirects to the Goal Optimizer; the phone has it</t>
        </is>
      </c>
      <c r="K82" s="30" t="inlineStr">
        <is>
          <t>2026-10-14</t>
        </is>
      </c>
    </row>
    <row r="83" ht="15" customHeight="1" s="17">
      <c r="A83" s="30" t="inlineStr">
        <is>
          <t>C-42</t>
        </is>
      </c>
      <c r="B83" s="30" t="inlineStr">
        <is>
          <t>Calculators</t>
        </is>
      </c>
      <c r="C83" s="30" t="inlineStr">
        <is>
          <t>Investment &amp; Wealth — lupsum</t>
        </is>
      </c>
      <c r="D83" s="30" t="inlineStr">
        <is>
          <t>calculators/investment &amp; wealth/lupsum.html</t>
        </is>
      </c>
      <c r="E83" s="30" t="inlineStr">
        <is>
          <t>Done</t>
        </is>
      </c>
      <c r="F83" s="30" t="inlineStr">
        <is>
          <t>P3</t>
        </is>
      </c>
      <c r="G83" s="30" t="inlineStr">
        <is>
          <t>S</t>
        </is>
      </c>
      <c r="H83" s="30" t="n"/>
      <c r="I83" s="30" t="inlineStr">
        <is>
          <t>app/tools/calc/lumpsum</t>
        </is>
      </c>
      <c r="J83" s="30" t="inlineStr">
        <is>
          <t>Same formula and the same text as the page, checked by running the page script (webCalc.parity)</t>
        </is>
      </c>
      <c r="K83" s="30" t="inlineStr">
        <is>
          <t>2026-10-14</t>
        </is>
      </c>
    </row>
    <row r="84" ht="15" customHeight="1" s="17">
      <c r="A84" s="30" t="inlineStr">
        <is>
          <t>C-43</t>
        </is>
      </c>
      <c r="B84" s="30" t="inlineStr">
        <is>
          <t>Calculators</t>
        </is>
      </c>
      <c r="C84" s="30" t="inlineStr">
        <is>
          <t>Investment &amp; Wealth — mutualfunds</t>
        </is>
      </c>
      <c r="D84" s="30" t="inlineStr">
        <is>
          <t>calculators/investment &amp; wealth/mutualfunds.html</t>
        </is>
      </c>
      <c r="E84" s="30" t="inlineStr">
        <is>
          <t>Done</t>
        </is>
      </c>
      <c r="F84" s="30" t="inlineStr">
        <is>
          <t>P3</t>
        </is>
      </c>
      <c r="G84" s="30" t="inlineStr">
        <is>
          <t>S</t>
        </is>
      </c>
      <c r="H84" s="30" t="n"/>
      <c r="I84" s="30" t="inlineStr">
        <is>
          <t>app/tools/calc/mutualfunds</t>
        </is>
      </c>
      <c r="J84" s="30" t="inlineStr">
        <is>
          <t>Same formula and the same text as the page, checked by running the page script (webCalc.parity)</t>
        </is>
      </c>
      <c r="K84" s="30" t="inlineStr">
        <is>
          <t>2026-10-14</t>
        </is>
      </c>
    </row>
    <row r="85" ht="15" customHeight="1" s="17">
      <c r="A85" s="30" t="inlineStr">
        <is>
          <t>C-44</t>
        </is>
      </c>
      <c r="B85" s="30" t="inlineStr">
        <is>
          <t>Calculators</t>
        </is>
      </c>
      <c r="C85" s="30" t="inlineStr">
        <is>
          <t>Investment &amp; Wealth — portfolio</t>
        </is>
      </c>
      <c r="D85" s="30" t="inlineStr">
        <is>
          <t>calculators/investment &amp; wealth/portfolio.html</t>
        </is>
      </c>
      <c r="E85" s="30" t="inlineStr">
        <is>
          <t>Done</t>
        </is>
      </c>
      <c r="F85" s="30" t="inlineStr">
        <is>
          <t>P3</t>
        </is>
      </c>
      <c r="G85" s="30" t="inlineStr">
        <is>
          <t>S</t>
        </is>
      </c>
      <c r="H85" s="30" t="n"/>
      <c r="I85" s="30" t="inlineStr">
        <is>
          <t>app/tools/calc/growth</t>
        </is>
      </c>
      <c r="J85" s="30" t="inlineStr">
        <is>
          <t>Same formula and the same text as the page, checked by running the page script (webCalc.parity)</t>
        </is>
      </c>
      <c r="K85" s="30" t="inlineStr">
        <is>
          <t>2026-10-14</t>
        </is>
      </c>
    </row>
    <row r="86" ht="15" customHeight="1" s="17">
      <c r="A86" s="30" t="inlineStr">
        <is>
          <t>C-45</t>
        </is>
      </c>
      <c r="B86" s="30" t="inlineStr">
        <is>
          <t>Calculators</t>
        </is>
      </c>
      <c r="C86" s="30" t="inlineStr">
        <is>
          <t>Investment &amp; Wealth — rebalancing</t>
        </is>
      </c>
      <c r="D86" s="30" t="inlineStr">
        <is>
          <t>calculators/investment &amp; wealth/rebalancing.html</t>
        </is>
      </c>
      <c r="E86" s="30" t="inlineStr">
        <is>
          <t>Done</t>
        </is>
      </c>
      <c r="F86" s="30" t="inlineStr">
        <is>
          <t>P3</t>
        </is>
      </c>
      <c r="G86" s="30" t="inlineStr">
        <is>
          <t>S</t>
        </is>
      </c>
      <c r="H86" s="30" t="n"/>
      <c r="I86" s="30" t="inlineStr">
        <is>
          <t>app/tools/rebalance.tsx</t>
        </is>
      </c>
      <c r="J86" s="30" t="inlineStr">
        <is>
          <t>Website page redirects to the Portfolio Rebalancer; the phone has it</t>
        </is>
      </c>
      <c r="K86" s="30" t="inlineStr">
        <is>
          <t>2026-10-14</t>
        </is>
      </c>
    </row>
    <row r="87" ht="15" customHeight="1" s="17">
      <c r="A87" s="30" t="inlineStr">
        <is>
          <t>C-46</t>
        </is>
      </c>
      <c r="B87" s="30" t="inlineStr">
        <is>
          <t>Calculators</t>
        </is>
      </c>
      <c r="C87" s="30" t="inlineStr">
        <is>
          <t>Investment &amp; Wealth — rollingreturns</t>
        </is>
      </c>
      <c r="D87" s="30" t="inlineStr">
        <is>
          <t>calculators/investment &amp; wealth/rollingreturns.html</t>
        </is>
      </c>
      <c r="E87" s="30" t="inlineStr">
        <is>
          <t>Done</t>
        </is>
      </c>
      <c r="F87" s="30" t="inlineStr">
        <is>
          <t>P3</t>
        </is>
      </c>
      <c r="G87" s="30" t="inlineStr">
        <is>
          <t>S</t>
        </is>
      </c>
      <c r="H87" s="30" t="n"/>
      <c r="I87" s="30" t="inlineStr">
        <is>
          <t>app/tools/calc/rollingreturns</t>
        </is>
      </c>
      <c r="J87" s="30" t="inlineStr">
        <is>
          <t>Same formula and the same text as the page, checked by running the page script (webCalc.parity)</t>
        </is>
      </c>
      <c r="K87" s="30" t="inlineStr">
        <is>
          <t>2026-10-14</t>
        </is>
      </c>
    </row>
    <row r="88" ht="15" customHeight="1" s="17">
      <c r="A88" s="30" t="inlineStr">
        <is>
          <t>C-47</t>
        </is>
      </c>
      <c r="B88" s="30" t="inlineStr">
        <is>
          <t>Calculators</t>
        </is>
      </c>
      <c r="C88" s="30" t="inlineStr">
        <is>
          <t>Investment &amp; Wealth — sip-optimizer</t>
        </is>
      </c>
      <c r="D88" s="30" t="inlineStr">
        <is>
          <t>calculators/investment &amp; wealth/sip-optimizer.html</t>
        </is>
      </c>
      <c r="E88" s="30" t="inlineStr">
        <is>
          <t>Not planned</t>
        </is>
      </c>
      <c r="F88" s="30" t="inlineStr">
        <is>
          <t>P3</t>
        </is>
      </c>
      <c r="G88" s="30" t="inlineStr">
        <is>
          <t>S</t>
        </is>
      </c>
      <c r="H88" s="30" t="n"/>
      <c r="I88" s="30" t="inlineStr">
        <is>
          <t>calculators/sip-optimizer</t>
        </is>
      </c>
      <c r="J88" s="30" t="inlineStr">
        <is>
          <t>Random (Math.random) Monte Carlo with a fixed fund list: not reproducible and prescriptive. The Goal Optimizer and Retirement Planner (seeded) cover it</t>
        </is>
      </c>
      <c r="K88" s="30" t="inlineStr">
        <is>
          <t>2026-10-14</t>
        </is>
      </c>
    </row>
    <row r="89" ht="15" customHeight="1" s="17">
      <c r="A89" s="30" t="inlineStr">
        <is>
          <t>C-48</t>
        </is>
      </c>
      <c r="B89" s="30" t="inlineStr">
        <is>
          <t>Calculators</t>
        </is>
      </c>
      <c r="C89" s="30" t="inlineStr">
        <is>
          <t>Investment &amp; Wealth — sip</t>
        </is>
      </c>
      <c r="D89" s="30" t="inlineStr">
        <is>
          <t>calculators/investment &amp; wealth/sip.html</t>
        </is>
      </c>
      <c r="E89" s="30" t="inlineStr">
        <is>
          <t>Done</t>
        </is>
      </c>
      <c r="F89" s="30" t="inlineStr">
        <is>
          <t>P3</t>
        </is>
      </c>
      <c r="G89" s="30" t="inlineStr">
        <is>
          <t>S</t>
        </is>
      </c>
      <c r="H89" s="30" t="n"/>
      <c r="I89" s="30" t="inlineStr">
        <is>
          <t>app/tools/calc/sip</t>
        </is>
      </c>
      <c r="J89" s="30" t="inlineStr">
        <is>
          <t>Same formula and the same text as the page, checked by running the page script (webCalc.parity)</t>
        </is>
      </c>
      <c r="K89" s="30" t="inlineStr">
        <is>
          <t>2026-10-14</t>
        </is>
      </c>
    </row>
    <row r="90" ht="15" customHeight="1" s="17">
      <c r="A90" s="30" t="inlineStr">
        <is>
          <t>C-49</t>
        </is>
      </c>
      <c r="B90" s="30" t="inlineStr">
        <is>
          <t>Calculators</t>
        </is>
      </c>
      <c r="C90" s="30" t="inlineStr">
        <is>
          <t>Investment &amp; Wealth — stepup</t>
        </is>
      </c>
      <c r="D90" s="30" t="inlineStr">
        <is>
          <t>calculators/investment &amp; wealth/stepup.html</t>
        </is>
      </c>
      <c r="E90" s="30" t="inlineStr">
        <is>
          <t>Done</t>
        </is>
      </c>
      <c r="F90" s="30" t="inlineStr">
        <is>
          <t>P3</t>
        </is>
      </c>
      <c r="G90" s="30" t="inlineStr">
        <is>
          <t>S</t>
        </is>
      </c>
      <c r="H90" s="30" t="n"/>
      <c r="I90" s="30" t="inlineStr">
        <is>
          <t>app/tools/stepup.tsx</t>
        </is>
      </c>
      <c r="J90" s="30" t="inlineStr">
        <is>
          <t>Website page redirects to the SIP Step-up planner; the phone has it</t>
        </is>
      </c>
      <c r="K90" s="30" t="inlineStr">
        <is>
          <t>2026-10-14</t>
        </is>
      </c>
    </row>
    <row r="91" ht="15" customHeight="1" s="17">
      <c r="A91" s="30" t="inlineStr">
        <is>
          <t>C-50</t>
        </is>
      </c>
      <c r="B91" s="30" t="inlineStr">
        <is>
          <t>Calculators</t>
        </is>
      </c>
      <c r="C91" s="30" t="inlineStr">
        <is>
          <t>Investment &amp; Wealth — swp</t>
        </is>
      </c>
      <c r="D91" s="30" t="inlineStr">
        <is>
          <t>calculators/investment &amp; wealth/swp.html</t>
        </is>
      </c>
      <c r="E91" s="30" t="inlineStr">
        <is>
          <t>Done</t>
        </is>
      </c>
      <c r="F91" s="30" t="inlineStr">
        <is>
          <t>P3</t>
        </is>
      </c>
      <c r="G91" s="30" t="inlineStr">
        <is>
          <t>S</t>
        </is>
      </c>
      <c r="H91" s="30" t="n"/>
      <c r="I91" s="30" t="inlineStr">
        <is>
          <t>app/tools/calc/swp</t>
        </is>
      </c>
      <c r="J91" s="30" t="inlineStr">
        <is>
          <t>Same formula and the same text as the page, checked by running the page script (webCalc.parity)</t>
        </is>
      </c>
      <c r="K91" s="30" t="inlineStr">
        <is>
          <t>2026-10-14</t>
        </is>
      </c>
    </row>
    <row r="92" ht="15" customHeight="1" s="17">
      <c r="A92" s="30" t="inlineStr">
        <is>
          <t>C-51</t>
        </is>
      </c>
      <c r="B92" s="30" t="inlineStr">
        <is>
          <t>Calculators</t>
        </is>
      </c>
      <c r="C92" s="30" t="inlineStr">
        <is>
          <t>Investment &amp; Wealth — taxadj</t>
        </is>
      </c>
      <c r="D92" s="30" t="inlineStr">
        <is>
          <t>calculators/investment &amp; wealth/taxadj.html</t>
        </is>
      </c>
      <c r="E92" s="30" t="inlineStr">
        <is>
          <t>Done</t>
        </is>
      </c>
      <c r="F92" s="30" t="inlineStr">
        <is>
          <t>P3</t>
        </is>
      </c>
      <c r="G92" s="30" t="inlineStr">
        <is>
          <t>S</t>
        </is>
      </c>
      <c r="H92" s="30" t="n"/>
      <c r="I92" s="30" t="inlineStr">
        <is>
          <t>app/tools/calc/taxadj</t>
        </is>
      </c>
      <c r="J92" s="30" t="inlineStr">
        <is>
          <t>Same formula and the same text as the page, checked by running the page script (webCalc.parity)</t>
        </is>
      </c>
      <c r="K92" s="30" t="inlineStr">
        <is>
          <t>2026-10-14</t>
        </is>
      </c>
    </row>
    <row r="93" ht="15" customHeight="1" s="17">
      <c r="A93" s="30" t="inlineStr">
        <is>
          <t>C-52</t>
        </is>
      </c>
      <c r="B93" s="30" t="inlineStr">
        <is>
          <t>Calculators</t>
        </is>
      </c>
      <c r="C93" s="30" t="inlineStr">
        <is>
          <t>Investment &amp; Wealth — xirr</t>
        </is>
      </c>
      <c r="D93" s="30" t="inlineStr">
        <is>
          <t>calculators/investment &amp; wealth/xirr.html</t>
        </is>
      </c>
      <c r="E93" s="30" t="inlineStr">
        <is>
          <t>Done</t>
        </is>
      </c>
      <c r="F93" s="30" t="inlineStr">
        <is>
          <t>P3</t>
        </is>
      </c>
      <c r="G93" s="30" t="inlineStr">
        <is>
          <t>S</t>
        </is>
      </c>
      <c r="H93" s="30" t="n"/>
      <c r="I93" s="30" t="inlineStr">
        <is>
          <t>app/tools/calc/xirr</t>
        </is>
      </c>
      <c r="J93" s="30" t="inlineStr">
        <is>
          <t>Same formula and the same text as the page, checked by running the page script (webCalc.parity)</t>
        </is>
      </c>
      <c r="K93" s="30" t="inlineStr">
        <is>
          <t>2026-10-14</t>
        </is>
      </c>
    </row>
    <row r="94" ht="15" customHeight="1" s="17">
      <c r="A94" s="30" t="inlineStr">
        <is>
          <t>C-53</t>
        </is>
      </c>
      <c r="B94" s="30" t="inlineStr">
        <is>
          <t>Calculators</t>
        </is>
      </c>
      <c r="C94" s="30" t="inlineStr">
        <is>
          <t>Loans, Debt &amp; Emi — car</t>
        </is>
      </c>
      <c r="D94" s="30" t="inlineStr">
        <is>
          <t>calculators/loans, debt &amp; emi/car.html</t>
        </is>
      </c>
      <c r="E94" s="30" t="inlineStr">
        <is>
          <t>Done</t>
        </is>
      </c>
      <c r="F94" s="30" t="inlineStr">
        <is>
          <t>P3</t>
        </is>
      </c>
      <c r="G94" s="30" t="inlineStr">
        <is>
          <t>S</t>
        </is>
      </c>
      <c r="H94" s="30" t="n"/>
      <c r="I94" s="30" t="inlineStr">
        <is>
          <t>app/tools/calc/carloan</t>
        </is>
      </c>
      <c r="J94" s="30" t="inlineStr">
        <is>
          <t>Same formula and the same text as the page, checked by running the page script (webCalc.parity)</t>
        </is>
      </c>
      <c r="K94" s="30" t="inlineStr">
        <is>
          <t>2026-10-14</t>
        </is>
      </c>
    </row>
    <row r="95" ht="15" customHeight="1" s="17">
      <c r="A95" s="30" t="inlineStr">
        <is>
          <t>C-54</t>
        </is>
      </c>
      <c r="B95" s="30" t="inlineStr">
        <is>
          <t>Calculators</t>
        </is>
      </c>
      <c r="C95" s="30" t="inlineStr">
        <is>
          <t>Loans, Debt &amp; Emi — creditcard</t>
        </is>
      </c>
      <c r="D95" s="30" t="inlineStr">
        <is>
          <t>calculators/loans, debt &amp; emi/creditcard.html</t>
        </is>
      </c>
      <c r="E95" s="30" t="inlineStr">
        <is>
          <t>Done</t>
        </is>
      </c>
      <c r="F95" s="30" t="inlineStr">
        <is>
          <t>P3</t>
        </is>
      </c>
      <c r="G95" s="30" t="inlineStr">
        <is>
          <t>S</t>
        </is>
      </c>
      <c r="H95" s="30" t="n"/>
      <c r="I95" s="30" t="inlineStr">
        <is>
          <t>app/tools/calc/creditcard</t>
        </is>
      </c>
      <c r="J95" s="30" t="inlineStr">
        <is>
          <t>Same formula and the same text as the page, checked by running the page script (webCalc.parity)</t>
        </is>
      </c>
      <c r="K95" s="30" t="inlineStr">
        <is>
          <t>2026-10-14</t>
        </is>
      </c>
    </row>
    <row r="96" ht="15" customHeight="1" s="17">
      <c r="A96" s="30" t="inlineStr">
        <is>
          <t>C-55</t>
        </is>
      </c>
      <c r="B96" s="30" t="inlineStr">
        <is>
          <t>Calculators</t>
        </is>
      </c>
      <c r="C96" s="30" t="inlineStr">
        <is>
          <t>Loans, Debt &amp; Emi — debtsnow</t>
        </is>
      </c>
      <c r="D96" s="30" t="inlineStr">
        <is>
          <t>calculators/loans, debt &amp; emi/debtsnow.html</t>
        </is>
      </c>
      <c r="E96" s="30" t="inlineStr">
        <is>
          <t>Done</t>
        </is>
      </c>
      <c r="F96" s="30" t="inlineStr">
        <is>
          <t>P3</t>
        </is>
      </c>
      <c r="G96" s="30" t="inlineStr">
        <is>
          <t>S</t>
        </is>
      </c>
      <c r="H96" s="30" t="n"/>
      <c r="I96" s="30" t="inlineStr">
        <is>
          <t>app/tools/debt.tsx</t>
        </is>
      </c>
      <c r="J96" s="30" t="inlineStr">
        <is>
          <t>Website page redirects to the Debt Optimizer; the phone has it</t>
        </is>
      </c>
      <c r="K96" s="30" t="inlineStr">
        <is>
          <t>2026-10-14</t>
        </is>
      </c>
    </row>
    <row r="97" ht="15" customHeight="1" s="17">
      <c r="A97" s="30" t="inlineStr">
        <is>
          <t>C-56</t>
        </is>
      </c>
      <c r="B97" s="30" t="inlineStr">
        <is>
          <t>Calculators</t>
        </is>
      </c>
      <c r="C97" s="30" t="inlineStr">
        <is>
          <t>Loans, Debt &amp; Emi — education</t>
        </is>
      </c>
      <c r="D97" s="30" t="inlineStr">
        <is>
          <t>calculators/loans, debt &amp; emi/education.html</t>
        </is>
      </c>
      <c r="E97" s="30" t="inlineStr">
        <is>
          <t>Done</t>
        </is>
      </c>
      <c r="F97" s="30" t="inlineStr">
        <is>
          <t>P3</t>
        </is>
      </c>
      <c r="G97" s="30" t="inlineStr">
        <is>
          <t>S</t>
        </is>
      </c>
      <c r="H97" s="30" t="n"/>
      <c r="I97" s="30" t="inlineStr">
        <is>
          <t>app/tools/calc/educationloan</t>
        </is>
      </c>
      <c r="J97" s="30" t="inlineStr">
        <is>
          <t>Same formula and the same text as the page, checked by running the page script (webCalc.parity)</t>
        </is>
      </c>
      <c r="K97" s="30" t="inlineStr">
        <is>
          <t>2026-10-14</t>
        </is>
      </c>
    </row>
    <row r="98" ht="15" customHeight="1" s="17">
      <c r="A98" s="30" t="inlineStr">
        <is>
          <t>C-57</t>
        </is>
      </c>
      <c r="B98" s="30" t="inlineStr">
        <is>
          <t>Calculators</t>
        </is>
      </c>
      <c r="C98" s="30" t="inlineStr">
        <is>
          <t>Loans, Debt &amp; Emi — emi</t>
        </is>
      </c>
      <c r="D98" s="30" t="inlineStr">
        <is>
          <t>calculators/loans, debt &amp; emi/emi.html</t>
        </is>
      </c>
      <c r="E98" s="30" t="inlineStr">
        <is>
          <t>Done</t>
        </is>
      </c>
      <c r="F98" s="30" t="inlineStr">
        <is>
          <t>P3</t>
        </is>
      </c>
      <c r="G98" s="30" t="inlineStr">
        <is>
          <t>S</t>
        </is>
      </c>
      <c r="H98" s="30" t="n"/>
      <c r="I98" s="30" t="inlineStr">
        <is>
          <t>app/tools/calc/emi</t>
        </is>
      </c>
      <c r="J98" s="30" t="inlineStr">
        <is>
          <t>Same formula and the same text as the page, checked by running the page script (webCalc.parity)</t>
        </is>
      </c>
      <c r="K98" s="30" t="inlineStr">
        <is>
          <t>2026-10-14</t>
        </is>
      </c>
    </row>
    <row r="99" ht="15" customHeight="1" s="17">
      <c r="A99" s="30" t="inlineStr">
        <is>
          <t>C-58</t>
        </is>
      </c>
      <c r="B99" s="30" t="inlineStr">
        <is>
          <t>Calculators</t>
        </is>
      </c>
      <c r="C99" s="30" t="inlineStr">
        <is>
          <t>Loans, Debt &amp; Emi — emiprepay</t>
        </is>
      </c>
      <c r="D99" s="30" t="inlineStr">
        <is>
          <t>calculators/loans, debt &amp; emi/emiprepay.html</t>
        </is>
      </c>
      <c r="E99" s="30" t="inlineStr">
        <is>
          <t>Done</t>
        </is>
      </c>
      <c r="F99" s="30" t="inlineStr">
        <is>
          <t>P3</t>
        </is>
      </c>
      <c r="G99" s="30" t="inlineStr">
        <is>
          <t>S</t>
        </is>
      </c>
      <c r="H99" s="30" t="n"/>
      <c r="I99" s="30" t="inlineStr">
        <is>
          <t>app/tools/calc/emiprepay</t>
        </is>
      </c>
      <c r="J99" s="30" t="inlineStr">
        <is>
          <t>Same formula and the same text as the page, checked by running the page script (webCalc.parity)</t>
        </is>
      </c>
      <c r="K99" s="30" t="inlineStr">
        <is>
          <t>2026-10-14</t>
        </is>
      </c>
    </row>
    <row r="100" ht="15" customHeight="1" s="17">
      <c r="A100" s="30" t="inlineStr">
        <is>
          <t>C-59</t>
        </is>
      </c>
      <c r="B100" s="30" t="inlineStr">
        <is>
          <t>Calculators</t>
        </is>
      </c>
      <c r="C100" s="30" t="inlineStr">
        <is>
          <t>Loans, Debt &amp; Emi — home</t>
        </is>
      </c>
      <c r="D100" s="30" t="inlineStr">
        <is>
          <t>calculators/loans, debt &amp; emi/home.html</t>
        </is>
      </c>
      <c r="E100" s="30" t="inlineStr">
        <is>
          <t>Done</t>
        </is>
      </c>
      <c r="F100" s="30" t="inlineStr">
        <is>
          <t>P3</t>
        </is>
      </c>
      <c r="G100" s="30" t="inlineStr">
        <is>
          <t>S</t>
        </is>
      </c>
      <c r="H100" s="30" t="n"/>
      <c r="I100" s="30" t="inlineStr">
        <is>
          <t>app/tools/homeloan.tsx</t>
        </is>
      </c>
      <c r="J100" s="30" t="inlineStr">
        <is>
          <t>Website page redirects to the Home Loan planner; the phone has it</t>
        </is>
      </c>
      <c r="K100" s="30" t="inlineStr">
        <is>
          <t>2026-10-14</t>
        </is>
      </c>
    </row>
    <row r="101" ht="15" customHeight="1" s="17">
      <c r="A101" s="30" t="inlineStr">
        <is>
          <t>C-60</t>
        </is>
      </c>
      <c r="B101" s="30" t="inlineStr">
        <is>
          <t>Calculators</t>
        </is>
      </c>
      <c r="C101" s="30" t="inlineStr">
        <is>
          <t>Loans, Debt &amp; Emi — interest</t>
        </is>
      </c>
      <c r="D101" s="30" t="inlineStr">
        <is>
          <t>calculators/loans, debt &amp; emi/interest.html</t>
        </is>
      </c>
      <c r="E101" s="30" t="inlineStr">
        <is>
          <t>Done</t>
        </is>
      </c>
      <c r="F101" s="30" t="inlineStr">
        <is>
          <t>P3</t>
        </is>
      </c>
      <c r="G101" s="30" t="inlineStr">
        <is>
          <t>S</t>
        </is>
      </c>
      <c r="H101" s="30" t="n"/>
      <c r="I101" s="30" t="inlineStr">
        <is>
          <t>app/tools/calc/interestoutflow</t>
        </is>
      </c>
      <c r="J101" s="30" t="inlineStr">
        <is>
          <t>Same formula and the same text as the page, checked by running the page script (webCalc.parity)</t>
        </is>
      </c>
      <c r="K101" s="30" t="inlineStr">
        <is>
          <t>2026-10-14</t>
        </is>
      </c>
    </row>
    <row r="102" ht="15" customHeight="1" s="17">
      <c r="A102" s="30" t="inlineStr">
        <is>
          <t>C-61</t>
        </is>
      </c>
      <c r="B102" s="30" t="inlineStr">
        <is>
          <t>Calculators</t>
        </is>
      </c>
      <c r="C102" s="30" t="inlineStr">
        <is>
          <t>Loans, Debt &amp; Emi — loaneligibility</t>
        </is>
      </c>
      <c r="D102" s="30" t="inlineStr">
        <is>
          <t>calculators/loans, debt &amp; emi/loaneligibility.html</t>
        </is>
      </c>
      <c r="E102" s="30" t="inlineStr">
        <is>
          <t>Done</t>
        </is>
      </c>
      <c r="F102" s="30" t="inlineStr">
        <is>
          <t>P3</t>
        </is>
      </c>
      <c r="G102" s="30" t="inlineStr">
        <is>
          <t>S</t>
        </is>
      </c>
      <c r="H102" s="30" t="n"/>
      <c r="I102" s="30" t="inlineStr">
        <is>
          <t>app/tools/calc/loaneligibility</t>
        </is>
      </c>
      <c r="J102" s="30" t="inlineStr">
        <is>
          <t>Same formula and the same text as the page, checked by running the page script (webCalc.parity)</t>
        </is>
      </c>
      <c r="K102" s="30" t="inlineStr">
        <is>
          <t>2026-10-14</t>
        </is>
      </c>
    </row>
    <row r="103" ht="15" customHeight="1" s="17">
      <c r="A103" s="30" t="inlineStr">
        <is>
          <t>C-62</t>
        </is>
      </c>
      <c r="B103" s="30" t="inlineStr">
        <is>
          <t>Calculators</t>
        </is>
      </c>
      <c r="C103" s="30" t="inlineStr">
        <is>
          <t>Loans, Debt &amp; Emi — loantenure</t>
        </is>
      </c>
      <c r="D103" s="30" t="inlineStr">
        <is>
          <t>calculators/loans, debt &amp; emi/loantenure.html</t>
        </is>
      </c>
      <c r="E103" s="30" t="inlineStr">
        <is>
          <t>Done</t>
        </is>
      </c>
      <c r="F103" s="30" t="inlineStr">
        <is>
          <t>P3</t>
        </is>
      </c>
      <c r="G103" s="30" t="inlineStr">
        <is>
          <t>S</t>
        </is>
      </c>
      <c r="H103" s="30" t="n"/>
      <c r="I103" s="30" t="inlineStr">
        <is>
          <t>app/tools/calc/loantenure</t>
        </is>
      </c>
      <c r="J103" s="30" t="inlineStr">
        <is>
          <t>Same formula and the same text as the page, checked by running the page script (webCalc.parity)</t>
        </is>
      </c>
      <c r="K103" s="30" t="inlineStr">
        <is>
          <t>2026-10-14</t>
        </is>
      </c>
    </row>
    <row r="104" ht="15" customHeight="1" s="17">
      <c r="A104" s="30" t="inlineStr">
        <is>
          <t>C-63</t>
        </is>
      </c>
      <c r="B104" s="30" t="inlineStr">
        <is>
          <t>Calculators</t>
        </is>
      </c>
      <c r="C104" s="30" t="inlineStr">
        <is>
          <t>Loans, Debt &amp; Emi — personal</t>
        </is>
      </c>
      <c r="D104" s="30" t="inlineStr">
        <is>
          <t>calculators/loans, debt &amp; emi/personal.html</t>
        </is>
      </c>
      <c r="E104" s="30" t="inlineStr">
        <is>
          <t>Done</t>
        </is>
      </c>
      <c r="F104" s="30" t="inlineStr">
        <is>
          <t>P3</t>
        </is>
      </c>
      <c r="G104" s="30" t="inlineStr">
        <is>
          <t>S</t>
        </is>
      </c>
      <c r="H104" s="30" t="n"/>
      <c r="I104" s="30" t="inlineStr">
        <is>
          <t>app/tools/calc/personalloan</t>
        </is>
      </c>
      <c r="J104" s="30" t="inlineStr">
        <is>
          <t>Same formula and the same text as the page, checked by running the page script (webCalc.parity)</t>
        </is>
      </c>
      <c r="K104" s="30" t="inlineStr">
        <is>
          <t>2026-10-14</t>
        </is>
      </c>
    </row>
    <row r="105" ht="15" customHeight="1" s="17">
      <c r="A105" s="30" t="inlineStr">
        <is>
          <t>C-64</t>
        </is>
      </c>
      <c r="B105" s="30" t="inlineStr">
        <is>
          <t>Calculators</t>
        </is>
      </c>
      <c r="C105" s="30" t="inlineStr">
        <is>
          <t>Loans, Debt &amp; Emi — prepayinvest</t>
        </is>
      </c>
      <c r="D105" s="30" t="inlineStr">
        <is>
          <t>calculators/loans, debt &amp; emi/prepayinvest.html</t>
        </is>
      </c>
      <c r="E105" s="30" t="inlineStr">
        <is>
          <t>Done</t>
        </is>
      </c>
      <c r="F105" s="30" t="inlineStr">
        <is>
          <t>P2</t>
        </is>
      </c>
      <c r="G105" s="30" t="inlineStr">
        <is>
          <t>S</t>
        </is>
      </c>
      <c r="H105" s="30" t="n"/>
      <c r="I105" s="30" t="inlineStr">
        <is>
          <t>tools/prepay</t>
        </is>
      </c>
      <c r="J105" s="30" t="inlineStr">
        <is>
          <t>Parity-tested</t>
        </is>
      </c>
      <c r="K105" s="30" t="inlineStr">
        <is>
          <t>2026-10-12</t>
        </is>
      </c>
    </row>
    <row r="106" ht="15" customHeight="1" s="17">
      <c r="A106" s="30" t="inlineStr">
        <is>
          <t>C-65</t>
        </is>
      </c>
      <c r="B106" s="30" t="inlineStr">
        <is>
          <t>Calculators</t>
        </is>
      </c>
      <c r="C106" s="30" t="inlineStr">
        <is>
          <t>Retirement &amp; Life Planning — annuity</t>
        </is>
      </c>
      <c r="D106" s="30" t="inlineStr">
        <is>
          <t>calculators/retirement &amp; life planning/annuity.html</t>
        </is>
      </c>
      <c r="E106" s="30" t="inlineStr">
        <is>
          <t>Done</t>
        </is>
      </c>
      <c r="F106" s="30" t="inlineStr">
        <is>
          <t>P3</t>
        </is>
      </c>
      <c r="G106" s="30" t="inlineStr">
        <is>
          <t>S</t>
        </is>
      </c>
      <c r="H106" s="30" t="n"/>
      <c r="I106" s="30" t="inlineStr">
        <is>
          <t>app/tools/calc/annuity</t>
        </is>
      </c>
      <c r="J106" s="30" t="inlineStr">
        <is>
          <t>Same formula and the same text as the page, checked by running the page script (webCalc.parity)</t>
        </is>
      </c>
      <c r="K106" s="30" t="inlineStr">
        <is>
          <t>2026-10-14</t>
        </is>
      </c>
    </row>
    <row r="107" ht="15" customHeight="1" s="17">
      <c r="A107" s="30" t="inlineStr">
        <is>
          <t>C-66</t>
        </is>
      </c>
      <c r="B107" s="30" t="inlineStr">
        <is>
          <t>Calculators</t>
        </is>
      </c>
      <c r="C107" s="30" t="inlineStr">
        <is>
          <t>Retirement &amp; Life Planning — healthcare</t>
        </is>
      </c>
      <c r="D107" s="30" t="inlineStr">
        <is>
          <t>calculators/retirement &amp; life planning/healthcare.html</t>
        </is>
      </c>
      <c r="E107" s="30" t="inlineStr">
        <is>
          <t>Done</t>
        </is>
      </c>
      <c r="F107" s="30" t="inlineStr">
        <is>
          <t>P3</t>
        </is>
      </c>
      <c r="G107" s="30" t="inlineStr">
        <is>
          <t>S</t>
        </is>
      </c>
      <c r="H107" s="30" t="n"/>
      <c r="I107" s="30" t="inlineStr">
        <is>
          <t>app/tools/calc/healthinflation</t>
        </is>
      </c>
      <c r="J107" s="30" t="inlineStr">
        <is>
          <t>Same formula and the same text as the page, checked by running the page script (webCalc.parity)</t>
        </is>
      </c>
      <c r="K107" s="30" t="inlineStr">
        <is>
          <t>2026-10-14</t>
        </is>
      </c>
    </row>
    <row r="108" ht="15" customHeight="1" s="17">
      <c r="A108" s="30" t="inlineStr">
        <is>
          <t>C-67</t>
        </is>
      </c>
      <c r="B108" s="30" t="inlineStr">
        <is>
          <t>Calculators</t>
        </is>
      </c>
      <c r="C108" s="30" t="inlineStr">
        <is>
          <t>Retirement &amp; Life Planning — lifeexpentancy</t>
        </is>
      </c>
      <c r="D108" s="30" t="inlineStr">
        <is>
          <t>calculators/retirement &amp; life planning/lifeexpentancy.html</t>
        </is>
      </c>
      <c r="E108" s="30" t="inlineStr">
        <is>
          <t>Done</t>
        </is>
      </c>
      <c r="F108" s="30" t="inlineStr">
        <is>
          <t>P3</t>
        </is>
      </c>
      <c r="G108" s="30" t="inlineStr">
        <is>
          <t>S</t>
        </is>
      </c>
      <c r="H108" s="30" t="n"/>
      <c r="I108" s="30" t="inlineStr">
        <is>
          <t>app/tools/calc/lifeexpectancy</t>
        </is>
      </c>
      <c r="J108" s="30" t="inlineStr">
        <is>
          <t>Same formula and the same text as the page, checked by running the page script (webCalc.parity)</t>
        </is>
      </c>
      <c r="K108" s="30" t="inlineStr">
        <is>
          <t>2026-10-14</t>
        </is>
      </c>
    </row>
    <row r="109" ht="15" customHeight="1" s="17">
      <c r="A109" s="30" t="inlineStr">
        <is>
          <t>C-68</t>
        </is>
      </c>
      <c r="B109" s="30" t="inlineStr">
        <is>
          <t>Calculators</t>
        </is>
      </c>
      <c r="C109" s="30" t="inlineStr">
        <is>
          <t>Retirement &amp; Life Planning — longevity</t>
        </is>
      </c>
      <c r="D109" s="30" t="inlineStr">
        <is>
          <t>calculators/retirement &amp; life planning/longevity.html</t>
        </is>
      </c>
      <c r="E109" s="30" t="inlineStr">
        <is>
          <t>Done</t>
        </is>
      </c>
      <c r="F109" s="30" t="inlineStr">
        <is>
          <t>P3</t>
        </is>
      </c>
      <c r="G109" s="30" t="inlineStr">
        <is>
          <t>S</t>
        </is>
      </c>
      <c r="H109" s="30" t="n"/>
      <c r="I109" s="30" t="inlineStr">
        <is>
          <t>app/tools/calc/longevity</t>
        </is>
      </c>
      <c r="J109" s="30" t="inlineStr">
        <is>
          <t>Same formula and the same text as the page, checked by running the page script (webCalc.parity)</t>
        </is>
      </c>
      <c r="K109" s="30" t="inlineStr">
        <is>
          <t>2026-10-14</t>
        </is>
      </c>
    </row>
    <row r="110" ht="15" customHeight="1" s="17">
      <c r="A110" s="30" t="inlineStr">
        <is>
          <t>C-69</t>
        </is>
      </c>
      <c r="B110" s="30" t="inlineStr">
        <is>
          <t>Calculators</t>
        </is>
      </c>
      <c r="C110" s="30" t="inlineStr">
        <is>
          <t>Retirement &amp; Life Planning — pensiongap</t>
        </is>
      </c>
      <c r="D110" s="30" t="inlineStr">
        <is>
          <t>calculators/retirement &amp; life planning/pensiongap.html</t>
        </is>
      </c>
      <c r="E110" s="30" t="inlineStr">
        <is>
          <t>Done</t>
        </is>
      </c>
      <c r="F110" s="30" t="inlineStr">
        <is>
          <t>P3</t>
        </is>
      </c>
      <c r="G110" s="30" t="inlineStr">
        <is>
          <t>S</t>
        </is>
      </c>
      <c r="H110" s="30" t="n"/>
      <c r="I110" s="30" t="inlineStr">
        <is>
          <t>app/tools/calc/pensiongap</t>
        </is>
      </c>
      <c r="J110" s="30" t="inlineStr">
        <is>
          <t>Same formula and the same text as the page, checked by running the page script (webCalc.parity)</t>
        </is>
      </c>
      <c r="K110" s="30" t="inlineStr">
        <is>
          <t>2026-10-14</t>
        </is>
      </c>
    </row>
    <row r="111" ht="15" customHeight="1" s="17">
      <c r="A111" s="30" t="inlineStr">
        <is>
          <t>C-70</t>
        </is>
      </c>
      <c r="B111" s="30" t="inlineStr">
        <is>
          <t>Calculators</t>
        </is>
      </c>
      <c r="C111" s="30" t="inlineStr">
        <is>
          <t>Retirement &amp; Life Planning — postretirement</t>
        </is>
      </c>
      <c r="D111" s="30" t="inlineStr">
        <is>
          <t>calculators/retirement &amp; life planning/postretirement.html</t>
        </is>
      </c>
      <c r="E111" s="30" t="inlineStr">
        <is>
          <t>Done</t>
        </is>
      </c>
      <c r="F111" s="30" t="inlineStr">
        <is>
          <t>P3</t>
        </is>
      </c>
      <c r="G111" s="30" t="inlineStr">
        <is>
          <t>S</t>
        </is>
      </c>
      <c r="H111" s="30" t="n"/>
      <c r="I111" s="30" t="inlineStr">
        <is>
          <t>app/tools/calc/postretirement</t>
        </is>
      </c>
      <c r="J111" s="30" t="inlineStr">
        <is>
          <t>Same formula and the same text as the page, checked by running the page script (webCalc.parity)</t>
        </is>
      </c>
      <c r="K111" s="30" t="inlineStr">
        <is>
          <t>2026-10-14</t>
        </is>
      </c>
    </row>
    <row r="112" ht="15" customHeight="1" s="17">
      <c r="A112" s="30" t="inlineStr">
        <is>
          <t>C-71</t>
        </is>
      </c>
      <c r="B112" s="30" t="inlineStr">
        <is>
          <t>Calculators</t>
        </is>
      </c>
      <c r="C112" s="30" t="inlineStr">
        <is>
          <t>Retirement &amp; Life Planning — retirement</t>
        </is>
      </c>
      <c r="D112" s="30" t="inlineStr">
        <is>
          <t>calculators/retirement &amp; life planning/retirement.html</t>
        </is>
      </c>
      <c r="E112" s="30" t="inlineStr">
        <is>
          <t>Done</t>
        </is>
      </c>
      <c r="F112" s="30" t="inlineStr">
        <is>
          <t>P3</t>
        </is>
      </c>
      <c r="G112" s="30" t="inlineStr">
        <is>
          <t>S</t>
        </is>
      </c>
      <c r="H112" s="30" t="n"/>
      <c r="I112" s="30" t="inlineStr">
        <is>
          <t>app/tools/retirement.tsx</t>
        </is>
      </c>
      <c r="J112" s="30" t="inlineStr">
        <is>
          <t>Website page redirects to the Retirement Planner; the phone has it</t>
        </is>
      </c>
      <c r="K112" s="30" t="inlineStr">
        <is>
          <t>2026-10-14</t>
        </is>
      </c>
    </row>
    <row r="113" ht="15" customHeight="1" s="17">
      <c r="A113" s="30" t="inlineStr">
        <is>
          <t>C-72</t>
        </is>
      </c>
      <c r="B113" s="30" t="inlineStr">
        <is>
          <t>Calculators</t>
        </is>
      </c>
      <c r="C113" s="30" t="inlineStr">
        <is>
          <t>Tax &amp; Salary — 80c</t>
        </is>
      </c>
      <c r="D113" s="30" t="inlineStr">
        <is>
          <t>calculators/tax &amp; salary/80c.html</t>
        </is>
      </c>
      <c r="E113" s="30" t="inlineStr">
        <is>
          <t>Done</t>
        </is>
      </c>
      <c r="F113" s="30" t="inlineStr">
        <is>
          <t>P3</t>
        </is>
      </c>
      <c r="G113" s="30" t="inlineStr">
        <is>
          <t>S</t>
        </is>
      </c>
      <c r="H113" s="30" t="n"/>
      <c r="I113" s="30" t="inlineStr">
        <is>
          <t>app/tools/calc/sec80c</t>
        </is>
      </c>
      <c r="J113" s="30" t="inlineStr">
        <is>
          <t>Same formula and the same text as the page, checked by running the page script (webCalc.parity)</t>
        </is>
      </c>
      <c r="K113" s="30" t="inlineStr">
        <is>
          <t>2026-10-14</t>
        </is>
      </c>
    </row>
    <row r="114" ht="15" customHeight="1" s="17">
      <c r="A114" s="30" t="inlineStr">
        <is>
          <t>C-73</t>
        </is>
      </c>
      <c r="B114" s="30" t="inlineStr">
        <is>
          <t>Calculators</t>
        </is>
      </c>
      <c r="C114" s="30" t="inlineStr">
        <is>
          <t>Tax &amp; Salary — captalgains</t>
        </is>
      </c>
      <c r="D114" s="30" t="inlineStr">
        <is>
          <t>calculators/tax &amp; salary/captalgains.html</t>
        </is>
      </c>
      <c r="E114" s="30" t="inlineStr">
        <is>
          <t>Done</t>
        </is>
      </c>
      <c r="F114" s="30" t="inlineStr">
        <is>
          <t>P3</t>
        </is>
      </c>
      <c r="G114" s="30" t="inlineStr">
        <is>
          <t>S</t>
        </is>
      </c>
      <c r="H114" s="30" t="n"/>
      <c r="I114" s="30" t="inlineStr">
        <is>
          <t>app/tools/calc/capgains</t>
        </is>
      </c>
      <c r="J114" s="30" t="inlineStr">
        <is>
          <t>Same formula and the same text as the page, checked by running the page script (webCalc.parity)</t>
        </is>
      </c>
      <c r="K114" s="30" t="inlineStr">
        <is>
          <t>2026-10-14</t>
        </is>
      </c>
    </row>
    <row r="115" ht="15" customHeight="1" s="17">
      <c r="A115" s="30" t="inlineStr">
        <is>
          <t>C-74</t>
        </is>
      </c>
      <c r="B115" s="30" t="inlineStr">
        <is>
          <t>Calculators</t>
        </is>
      </c>
      <c r="C115" s="30" t="inlineStr">
        <is>
          <t>Tax &amp; Salary — gratuity</t>
        </is>
      </c>
      <c r="D115" s="30" t="inlineStr">
        <is>
          <t>calculators/tax &amp; salary/gratuity.html</t>
        </is>
      </c>
      <c r="E115" s="30" t="inlineStr">
        <is>
          <t>Done</t>
        </is>
      </c>
      <c r="F115" s="30" t="inlineStr">
        <is>
          <t>P3</t>
        </is>
      </c>
      <c r="G115" s="30" t="inlineStr">
        <is>
          <t>S</t>
        </is>
      </c>
      <c r="H115" s="30" t="n"/>
      <c r="I115" s="30" t="inlineStr">
        <is>
          <t>app/tools/calc/gratuity</t>
        </is>
      </c>
      <c r="J115" s="30" t="inlineStr">
        <is>
          <t>Same formula and the same text as the page, checked by running the page script (webCalc.parity)</t>
        </is>
      </c>
      <c r="K115" s="30" t="inlineStr">
        <is>
          <t>2026-10-14</t>
        </is>
      </c>
    </row>
    <row r="116" ht="15" customHeight="1" s="17">
      <c r="A116" s="30" t="inlineStr">
        <is>
          <t>C-75</t>
        </is>
      </c>
      <c r="B116" s="30" t="inlineStr">
        <is>
          <t>Calculators</t>
        </is>
      </c>
      <c r="C116" s="30" t="inlineStr">
        <is>
          <t>Tax &amp; Salary — hra</t>
        </is>
      </c>
      <c r="D116" s="30" t="inlineStr">
        <is>
          <t>calculators/tax &amp; salary/hra.html</t>
        </is>
      </c>
      <c r="E116" s="30" t="inlineStr">
        <is>
          <t>Done</t>
        </is>
      </c>
      <c r="F116" s="30" t="inlineStr">
        <is>
          <t>P3</t>
        </is>
      </c>
      <c r="G116" s="30" t="inlineStr">
        <is>
          <t>S</t>
        </is>
      </c>
      <c r="H116" s="30" t="n"/>
      <c r="I116" s="30" t="inlineStr">
        <is>
          <t>app/tools/calc/hra</t>
        </is>
      </c>
      <c r="J116" s="30" t="inlineStr">
        <is>
          <t>Same formula and the same text as the page, checked by running the page script (webCalc.parity)</t>
        </is>
      </c>
      <c r="K116" s="30" t="inlineStr">
        <is>
          <t>2026-10-14</t>
        </is>
      </c>
    </row>
    <row r="117" ht="15" customHeight="1" s="17">
      <c r="A117" s="30" t="inlineStr">
        <is>
          <t>C-76</t>
        </is>
      </c>
      <c r="B117" s="30" t="inlineStr">
        <is>
          <t>Calculators</t>
        </is>
      </c>
      <c r="C117" s="30" t="inlineStr">
        <is>
          <t>Tax &amp; Salary — income</t>
        </is>
      </c>
      <c r="D117" s="30" t="inlineStr">
        <is>
          <t>calculators/tax &amp; salary/income.html</t>
        </is>
      </c>
      <c r="E117" s="30" t="inlineStr">
        <is>
          <t>Done</t>
        </is>
      </c>
      <c r="F117" s="30" t="inlineStr">
        <is>
          <t>P3</t>
        </is>
      </c>
      <c r="G117" s="30" t="inlineStr">
        <is>
          <t>S</t>
        </is>
      </c>
      <c r="H117" s="30" t="n"/>
      <c r="I117" s="30" t="inlineStr">
        <is>
          <t>app/tools/taxplanner.tsx</t>
        </is>
      </c>
      <c r="J117" s="30" t="inlineStr">
        <is>
          <t>Uses the shared tax core; the phone Tax Planner compares both regimes on the same port</t>
        </is>
      </c>
      <c r="K117" s="30" t="inlineStr">
        <is>
          <t>2026-10-14</t>
        </is>
      </c>
    </row>
    <row r="118" ht="15" customHeight="1" s="17">
      <c r="A118" s="30" t="inlineStr">
        <is>
          <t>C-77</t>
        </is>
      </c>
      <c r="B118" s="30" t="inlineStr">
        <is>
          <t>Calculators</t>
        </is>
      </c>
      <c r="C118" s="30" t="inlineStr">
        <is>
          <t>Tax &amp; Salary — inhand</t>
        </is>
      </c>
      <c r="D118" s="30" t="inlineStr">
        <is>
          <t>calculators/tax &amp; salary/inhand.html</t>
        </is>
      </c>
      <c r="E118" s="30" t="inlineStr">
        <is>
          <t>Done</t>
        </is>
      </c>
      <c r="F118" s="30" t="inlineStr">
        <is>
          <t>P3</t>
        </is>
      </c>
      <c r="G118" s="30" t="inlineStr">
        <is>
          <t>S</t>
        </is>
      </c>
      <c r="H118" s="30" t="n"/>
      <c r="I118" s="30" t="inlineStr">
        <is>
          <t>app/tools/salary.tsx</t>
        </is>
      </c>
      <c r="J118" s="30" t="inlineStr">
        <is>
          <t>Website page redirects to the Salary Optimizer; the phone has it</t>
        </is>
      </c>
      <c r="K118" s="30" t="inlineStr">
        <is>
          <t>2026-10-14</t>
        </is>
      </c>
    </row>
    <row r="119" ht="15" customHeight="1" s="17">
      <c r="A119" s="30" t="inlineStr">
        <is>
          <t>C-78</t>
        </is>
      </c>
      <c r="B119" s="30" t="inlineStr">
        <is>
          <t>Calculators</t>
        </is>
      </c>
      <c r="C119" s="30" t="inlineStr">
        <is>
          <t>Tax &amp; Salary — leave</t>
        </is>
      </c>
      <c r="D119" s="30" t="inlineStr">
        <is>
          <t>calculators/tax &amp; salary/leave.html</t>
        </is>
      </c>
      <c r="E119" s="30" t="inlineStr">
        <is>
          <t>Done</t>
        </is>
      </c>
      <c r="F119" s="30" t="inlineStr">
        <is>
          <t>P3</t>
        </is>
      </c>
      <c r="G119" s="30" t="inlineStr">
        <is>
          <t>S</t>
        </is>
      </c>
      <c r="H119" s="30" t="n"/>
      <c r="I119" s="30" t="inlineStr">
        <is>
          <t>app/tools/calc/leaveencash</t>
        </is>
      </c>
      <c r="J119" s="30" t="inlineStr">
        <is>
          <t>Same formula and the same text as the page, checked by running the page script (webCalc.parity)</t>
        </is>
      </c>
      <c r="K119" s="30" t="inlineStr">
        <is>
          <t>2026-10-14</t>
        </is>
      </c>
    </row>
    <row r="120" ht="15" customHeight="1" s="17">
      <c r="A120" s="30" t="inlineStr">
        <is>
          <t>C-79</t>
        </is>
      </c>
      <c r="B120" s="30" t="inlineStr">
        <is>
          <t>Calculators</t>
        </is>
      </c>
      <c r="C120" s="30" t="inlineStr">
        <is>
          <t>Tax &amp; Salary — offercompare</t>
        </is>
      </c>
      <c r="D120" s="30" t="inlineStr">
        <is>
          <t>calculators/tax &amp; salary/offercompare.html</t>
        </is>
      </c>
      <c r="E120" s="30" t="inlineStr">
        <is>
          <t>Done</t>
        </is>
      </c>
      <c r="F120" s="30" t="inlineStr">
        <is>
          <t>P2</t>
        </is>
      </c>
      <c r="G120" s="30" t="inlineStr">
        <is>
          <t>S</t>
        </is>
      </c>
      <c r="H120" s="30" t="n"/>
      <c r="I120" s="30" t="inlineStr">
        <is>
          <t>tools/offers</t>
        </is>
      </c>
      <c r="J120" s="30" t="inlineStr">
        <is>
          <t>Parity-tested</t>
        </is>
      </c>
      <c r="K120" s="30" t="inlineStr">
        <is>
          <t>2026-10-12</t>
        </is>
      </c>
    </row>
    <row r="121" ht="15" customHeight="1" s="17">
      <c r="A121" s="30" t="inlineStr">
        <is>
          <t>C-80</t>
        </is>
      </c>
      <c r="B121" s="30" t="inlineStr">
        <is>
          <t>Calculators</t>
        </is>
      </c>
      <c r="C121" s="30" t="inlineStr">
        <is>
          <t>Tax &amp; Salary — oldnew</t>
        </is>
      </c>
      <c r="D121" s="30" t="inlineStr">
        <is>
          <t>calculators/tax &amp; salary/oldnew.html</t>
        </is>
      </c>
      <c r="E121" s="30" t="inlineStr">
        <is>
          <t>Done</t>
        </is>
      </c>
      <c r="F121" s="30" t="inlineStr">
        <is>
          <t>P3</t>
        </is>
      </c>
      <c r="G121" s="30" t="inlineStr">
        <is>
          <t>S</t>
        </is>
      </c>
      <c r="H121" s="30" t="n"/>
      <c r="I121" s="30" t="inlineStr">
        <is>
          <t>app/tools/taxplanner.tsx</t>
        </is>
      </c>
      <c r="J121" s="30" t="inlineStr">
        <is>
          <t>Old vs new regime: the phone Tax Planner (parity-tested on the shared tax core)</t>
        </is>
      </c>
      <c r="K121" s="30" t="inlineStr">
        <is>
          <t>2026-10-14</t>
        </is>
      </c>
    </row>
    <row r="122" ht="15" customHeight="1" s="17">
      <c r="A122" s="30" t="inlineStr">
        <is>
          <t>C-81</t>
        </is>
      </c>
      <c r="B122" s="30" t="inlineStr">
        <is>
          <t>Calculators</t>
        </is>
      </c>
      <c r="C122" s="30" t="inlineStr">
        <is>
          <t>Tax &amp; Salary — professional</t>
        </is>
      </c>
      <c r="D122" s="30" t="inlineStr">
        <is>
          <t>calculators/tax &amp; salary/professional.html</t>
        </is>
      </c>
      <c r="E122" s="30" t="inlineStr">
        <is>
          <t>Done</t>
        </is>
      </c>
      <c r="F122" s="30" t="inlineStr">
        <is>
          <t>P3</t>
        </is>
      </c>
      <c r="G122" s="30" t="inlineStr">
        <is>
          <t>S</t>
        </is>
      </c>
      <c r="H122" s="30" t="n"/>
      <c r="I122" s="30" t="inlineStr">
        <is>
          <t>app/tools/calc/professionaltax</t>
        </is>
      </c>
      <c r="J122" s="30" t="inlineStr">
        <is>
          <t>Same formula and the same text as the page, checked by running the page script (webCalc.parity)</t>
        </is>
      </c>
      <c r="K122" s="30" t="inlineStr">
        <is>
          <t>2026-10-14</t>
        </is>
      </c>
    </row>
    <row r="123" ht="15" customHeight="1" s="17">
      <c r="A123" s="30" t="inlineStr">
        <is>
          <t>C-82</t>
        </is>
      </c>
      <c r="B123" s="30" t="inlineStr">
        <is>
          <t>Calculators</t>
        </is>
      </c>
      <c r="C123" s="30" t="inlineStr">
        <is>
          <t>Tax &amp; Salary — shortlong</t>
        </is>
      </c>
      <c r="D123" s="30" t="inlineStr">
        <is>
          <t>calculators/tax &amp; salary/shortlong.html</t>
        </is>
      </c>
      <c r="E123" s="30" t="inlineStr">
        <is>
          <t>Done</t>
        </is>
      </c>
      <c r="F123" s="30" t="inlineStr">
        <is>
          <t>P3</t>
        </is>
      </c>
      <c r="G123" s="30" t="inlineStr">
        <is>
          <t>S</t>
        </is>
      </c>
      <c r="H123" s="30" t="n"/>
      <c r="I123" s="30" t="inlineStr">
        <is>
          <t>app/tools/calc/stcgltcg</t>
        </is>
      </c>
      <c r="J123" s="30" t="inlineStr">
        <is>
          <t>Same formula and the same text as the page, checked by running the page script (webCalc.parity)</t>
        </is>
      </c>
      <c r="K123" s="30" t="inlineStr">
        <is>
          <t>2026-10-14</t>
        </is>
      </c>
    </row>
    <row r="124" ht="15" customHeight="1" s="17">
      <c r="A124" s="30" t="inlineStr">
        <is>
          <t>C-83</t>
        </is>
      </c>
      <c r="B124" s="30" t="inlineStr">
        <is>
          <t>Calculators</t>
        </is>
      </c>
      <c r="C124" s="30" t="inlineStr">
        <is>
          <t>Trading &amp; Markets — breakeven</t>
        </is>
      </c>
      <c r="D124" s="30" t="inlineStr">
        <is>
          <t>calculators/trading &amp; markets/breakeven.html</t>
        </is>
      </c>
      <c r="E124" s="30" t="inlineStr">
        <is>
          <t>Done</t>
        </is>
      </c>
      <c r="F124" s="30" t="inlineStr">
        <is>
          <t>P3</t>
        </is>
      </c>
      <c r="G124" s="30" t="inlineStr">
        <is>
          <t>S</t>
        </is>
      </c>
      <c r="H124" s="30" t="n"/>
      <c r="I124" s="30" t="inlineStr">
        <is>
          <t>app/tools/calc/breakeven</t>
        </is>
      </c>
      <c r="J124" s="30" t="inlineStr">
        <is>
          <t>Same formula and the same text as the page, checked by running the page script (webCalc.parity)</t>
        </is>
      </c>
      <c r="K124" s="30" t="inlineStr">
        <is>
          <t>2026-10-14</t>
        </is>
      </c>
    </row>
    <row r="125" ht="15" customHeight="1" s="17">
      <c r="A125" s="30" t="inlineStr">
        <is>
          <t>C-84</t>
        </is>
      </c>
      <c r="B125" s="30" t="inlineStr">
        <is>
          <t>Calculators</t>
        </is>
      </c>
      <c r="C125" s="30" t="inlineStr">
        <is>
          <t>Trading &amp; Markets — brokerage</t>
        </is>
      </c>
      <c r="D125" s="30" t="inlineStr">
        <is>
          <t>calculators/trading &amp; markets/brokerage.html</t>
        </is>
      </c>
      <c r="E125" s="30" t="inlineStr">
        <is>
          <t>Done</t>
        </is>
      </c>
      <c r="F125" s="30" t="inlineStr">
        <is>
          <t>P3</t>
        </is>
      </c>
      <c r="G125" s="30" t="inlineStr">
        <is>
          <t>S</t>
        </is>
      </c>
      <c r="H125" s="30" t="n"/>
      <c r="I125" s="30" t="inlineStr">
        <is>
          <t>app/tools/calc/brokerage</t>
        </is>
      </c>
      <c r="J125" s="30" t="inlineStr">
        <is>
          <t>Same formula and the same text as the page, checked by running the page script (webCalc.parity)</t>
        </is>
      </c>
      <c r="K125" s="30" t="inlineStr">
        <is>
          <t>2026-10-14</t>
        </is>
      </c>
    </row>
    <row r="126" ht="15" customHeight="1" s="17">
      <c r="A126" s="30" t="inlineStr">
        <is>
          <t>C-85</t>
        </is>
      </c>
      <c r="B126" s="30" t="inlineStr">
        <is>
          <t>Calculators</t>
        </is>
      </c>
      <c r="C126" s="30" t="inlineStr">
        <is>
          <t>Trading &amp; Markets — futurespl</t>
        </is>
      </c>
      <c r="D126" s="30" t="inlineStr">
        <is>
          <t>calculators/trading &amp; markets/futurespl.html</t>
        </is>
      </c>
      <c r="E126" s="30" t="inlineStr">
        <is>
          <t>Done</t>
        </is>
      </c>
      <c r="F126" s="30" t="inlineStr">
        <is>
          <t>P3</t>
        </is>
      </c>
      <c r="G126" s="30" t="inlineStr">
        <is>
          <t>S</t>
        </is>
      </c>
      <c r="H126" s="30" t="n"/>
      <c r="I126" s="30" t="inlineStr">
        <is>
          <t>app/tools/calc/futurespl</t>
        </is>
      </c>
      <c r="J126" s="30" t="inlineStr">
        <is>
          <t>Same formula and the same text as the page, checked by running the page script (webCalc.parity)</t>
        </is>
      </c>
      <c r="K126" s="30" t="inlineStr">
        <is>
          <t>2026-10-14</t>
        </is>
      </c>
    </row>
    <row r="127" ht="15" customHeight="1" s="17">
      <c r="A127" s="30" t="inlineStr">
        <is>
          <t>C-86</t>
        </is>
      </c>
      <c r="B127" s="30" t="inlineStr">
        <is>
          <t>Calculators</t>
        </is>
      </c>
      <c r="C127" s="30" t="inlineStr">
        <is>
          <t>Trading &amp; Markets — margin</t>
        </is>
      </c>
      <c r="D127" s="30" t="inlineStr">
        <is>
          <t>calculators/trading &amp; markets/margin.html</t>
        </is>
      </c>
      <c r="E127" s="30" t="inlineStr">
        <is>
          <t>Done</t>
        </is>
      </c>
      <c r="F127" s="30" t="inlineStr">
        <is>
          <t>P3</t>
        </is>
      </c>
      <c r="G127" s="30" t="inlineStr">
        <is>
          <t>S</t>
        </is>
      </c>
      <c r="H127" s="30" t="n"/>
      <c r="I127" s="30" t="inlineStr">
        <is>
          <t>app/tools/calc/margin</t>
        </is>
      </c>
      <c r="J127" s="30" t="inlineStr">
        <is>
          <t>Same formula and the same text as the page, checked by running the page script (webCalc.parity)</t>
        </is>
      </c>
      <c r="K127" s="30" t="inlineStr">
        <is>
          <t>2026-10-14</t>
        </is>
      </c>
    </row>
    <row r="128" ht="15" customHeight="1" s="17">
      <c r="A128" s="30" t="inlineStr">
        <is>
          <t>C-87</t>
        </is>
      </c>
      <c r="B128" s="30" t="inlineStr">
        <is>
          <t>Calculators</t>
        </is>
      </c>
      <c r="C128" s="30" t="inlineStr">
        <is>
          <t>Trading &amp; Markets — options</t>
        </is>
      </c>
      <c r="D128" s="30" t="inlineStr">
        <is>
          <t>calculators/trading &amp; markets/options.html</t>
        </is>
      </c>
      <c r="E128" s="30" t="inlineStr">
        <is>
          <t>Done</t>
        </is>
      </c>
      <c r="F128" s="30" t="inlineStr">
        <is>
          <t>P3</t>
        </is>
      </c>
      <c r="G128" s="30" t="inlineStr">
        <is>
          <t>S</t>
        </is>
      </c>
      <c r="H128" s="30" t="n"/>
      <c r="I128" s="30" t="inlineStr">
        <is>
          <t>app/tools/calc/optionspayoff</t>
        </is>
      </c>
      <c r="J128" s="30" t="inlineStr">
        <is>
          <t>Same formula and the same text as the page, checked by running the page script (webCalc.parity)</t>
        </is>
      </c>
      <c r="K128" s="30" t="inlineStr">
        <is>
          <t>2026-10-14</t>
        </is>
      </c>
    </row>
    <row r="129" ht="15" customHeight="1" s="17">
      <c r="A129" s="30" t="inlineStr">
        <is>
          <t>C-88</t>
        </is>
      </c>
      <c r="B129" s="30" t="inlineStr">
        <is>
          <t>Calculators</t>
        </is>
      </c>
      <c r="C129" s="30" t="inlineStr">
        <is>
          <t>Trading &amp; Markets — positionsize</t>
        </is>
      </c>
      <c r="D129" s="30" t="inlineStr">
        <is>
          <t>calculators/trading &amp; markets/positionsize.html</t>
        </is>
      </c>
      <c r="E129" s="30" t="inlineStr">
        <is>
          <t>Done</t>
        </is>
      </c>
      <c r="F129" s="30" t="inlineStr">
        <is>
          <t>P3</t>
        </is>
      </c>
      <c r="G129" s="30" t="inlineStr">
        <is>
          <t>S</t>
        </is>
      </c>
      <c r="H129" s="30" t="n"/>
      <c r="I129" s="30" t="inlineStr">
        <is>
          <t>app/tools/calc/positionsize</t>
        </is>
      </c>
      <c r="J129" s="30" t="inlineStr">
        <is>
          <t>Same formula and the same text as the page, checked by running the page script (webCalc.parity)</t>
        </is>
      </c>
      <c r="K129" s="30" t="inlineStr">
        <is>
          <t>2026-10-14</t>
        </is>
      </c>
    </row>
    <row r="130" ht="15" customHeight="1" s="17">
      <c r="A130" s="30" t="inlineStr">
        <is>
          <t>C-89</t>
        </is>
      </c>
      <c r="B130" s="30" t="inlineStr">
        <is>
          <t>Calculators</t>
        </is>
      </c>
      <c r="C130" s="30" t="inlineStr">
        <is>
          <t>Trading &amp; Markets — riskper</t>
        </is>
      </c>
      <c r="D130" s="30" t="inlineStr">
        <is>
          <t>calculators/trading &amp; markets/riskper.html</t>
        </is>
      </c>
      <c r="E130" s="30" t="inlineStr">
        <is>
          <t>Done</t>
        </is>
      </c>
      <c r="F130" s="30" t="inlineStr">
        <is>
          <t>P3</t>
        </is>
      </c>
      <c r="G130" s="30" t="inlineStr">
        <is>
          <t>S</t>
        </is>
      </c>
      <c r="H130" s="30" t="n"/>
      <c r="I130" s="30" t="inlineStr">
        <is>
          <t>app/tools/calc/riskpertrade</t>
        </is>
      </c>
      <c r="J130" s="30" t="inlineStr">
        <is>
          <t>Same formula and the same text as the page, checked by running the page script (webCalc.parity)</t>
        </is>
      </c>
      <c r="K130" s="30" t="inlineStr">
        <is>
          <t>2026-10-14</t>
        </is>
      </c>
    </row>
    <row r="131" ht="15" customHeight="1" s="17">
      <c r="A131" s="30" t="inlineStr">
        <is>
          <t>C-90</t>
        </is>
      </c>
      <c r="B131" s="30" t="inlineStr">
        <is>
          <t>Calculators</t>
        </is>
      </c>
      <c r="C131" s="30" t="inlineStr">
        <is>
          <t>Trading &amp; Markets — volatility</t>
        </is>
      </c>
      <c r="D131" s="30" t="inlineStr">
        <is>
          <t>calculators/trading &amp; markets/volatility.html</t>
        </is>
      </c>
      <c r="E131" s="30" t="inlineStr">
        <is>
          <t>Done</t>
        </is>
      </c>
      <c r="F131" s="30" t="inlineStr">
        <is>
          <t>P3</t>
        </is>
      </c>
      <c r="G131" s="30" t="inlineStr">
        <is>
          <t>S</t>
        </is>
      </c>
      <c r="H131" s="30" t="n"/>
      <c r="I131" s="30" t="inlineStr">
        <is>
          <t>app/tools/calc/vega</t>
        </is>
      </c>
      <c r="J131" s="30" t="inlineStr">
        <is>
          <t>Same formula and the same text as the page, checked by running the page script (webCalc.parity)</t>
        </is>
      </c>
      <c r="K131" s="30" t="inlineStr">
        <is>
          <t>2026-10-14</t>
        </is>
      </c>
    </row>
    <row r="132" ht="15" customHeight="1" s="17">
      <c r="A132" s="30" t="inlineStr">
        <is>
          <t>L-01</t>
        </is>
      </c>
      <c r="B132" s="30" t="inlineStr">
        <is>
          <t>Learning &amp; education</t>
        </is>
      </c>
      <c r="C132" s="30" t="inlineStr">
        <is>
          <t>Learn: analysis</t>
        </is>
      </c>
      <c r="D132" s="30" t="inlineStr">
        <is>
          <t>html/learn-analysis.html</t>
        </is>
      </c>
      <c r="E132" s="30" t="inlineStr">
        <is>
          <t>Done</t>
        </is>
      </c>
      <c r="F132" s="30" t="inlineStr">
        <is>
          <t>P3</t>
        </is>
      </c>
      <c r="G132" s="30" t="inlineStr">
        <is>
          <t>M</t>
        </is>
      </c>
      <c r="H132" s="30" t="n"/>
      <c r="I132" s="30" t="inlineStr">
        <is>
          <t>learn/analysis</t>
        </is>
      </c>
      <c r="J132" s="30" t="inlineStr">
        <is>
          <t>Phone lesson reader (app/learn/[id].tsx), text extracted from the website page by mobile/scripts/extract-learn.py; progress in finos_learned_modules (website shape). No passage flagged in the content review. English only; widgets of the page are not reproduced.</t>
        </is>
      </c>
      <c r="K132" s="30" t="inlineStr">
        <is>
          <t>2026-10-15</t>
        </is>
      </c>
    </row>
    <row r="133" ht="15" customHeight="1" s="17">
      <c r="A133" s="30" t="inlineStr">
        <is>
          <t>L-02</t>
        </is>
      </c>
      <c r="B133" s="30" t="inlineStr">
        <is>
          <t>Learning &amp; education</t>
        </is>
      </c>
      <c r="C133" s="30" t="inlineStr">
        <is>
          <t>Learn: commodity</t>
        </is>
      </c>
      <c r="D133" s="30" t="inlineStr">
        <is>
          <t>html/learn-commodity.html</t>
        </is>
      </c>
      <c r="E133" s="30" t="inlineStr">
        <is>
          <t>Done</t>
        </is>
      </c>
      <c r="F133" s="30" t="inlineStr">
        <is>
          <t>P3</t>
        </is>
      </c>
      <c r="G133" s="30" t="inlineStr">
        <is>
          <t>M</t>
        </is>
      </c>
      <c r="H133" s="30" t="n"/>
      <c r="I133" s="30" t="inlineStr">
        <is>
          <t>learn/commodity</t>
        </is>
      </c>
      <c r="J133" s="30" t="inlineStr">
        <is>
          <t>Phone lesson reader (app/learn/[id].tsx), text extracted from the website page by mobile/scripts/extract-learn.py; progress in finos_learned_modules (website shape). 3 passages flagged for fact-check (docs/agent-notes/learn-review.md); the reader shows a notice on each. English only; widgets of the page are not reproduced.</t>
        </is>
      </c>
      <c r="K133" s="30" t="inlineStr">
        <is>
          <t>2026-10-15</t>
        </is>
      </c>
    </row>
    <row r="134" ht="15" customHeight="1" s="17">
      <c r="A134" s="30" t="inlineStr">
        <is>
          <t>L-03</t>
        </is>
      </c>
      <c r="B134" s="30" t="inlineStr">
        <is>
          <t>Learning &amp; education</t>
        </is>
      </c>
      <c r="C134" s="30" t="inlineStr">
        <is>
          <t>Learn: crypto</t>
        </is>
      </c>
      <c r="D134" s="30" t="inlineStr">
        <is>
          <t>html/learn-crypto.html</t>
        </is>
      </c>
      <c r="E134" s="30" t="inlineStr">
        <is>
          <t>Done</t>
        </is>
      </c>
      <c r="F134" s="30" t="inlineStr">
        <is>
          <t>P3</t>
        </is>
      </c>
      <c r="G134" s="30" t="inlineStr">
        <is>
          <t>M</t>
        </is>
      </c>
      <c r="H134" s="30" t="n"/>
      <c r="I134" s="30" t="inlineStr">
        <is>
          <t>learn/crypto</t>
        </is>
      </c>
      <c r="J134" s="30" t="inlineStr">
        <is>
          <t>Phone lesson reader (app/learn/[id].tsx), text extracted from the website page by mobile/scripts/extract-learn.py; progress in finos_learned_modules (website shape). No passage flagged in the content review. English only; widgets of the page are not reproduced.</t>
        </is>
      </c>
      <c r="K134" s="30" t="inlineStr">
        <is>
          <t>2026-10-15</t>
        </is>
      </c>
    </row>
    <row r="135" ht="15" customHeight="1" s="17">
      <c r="A135" s="30" t="inlineStr">
        <is>
          <t>L-04</t>
        </is>
      </c>
      <c r="B135" s="30" t="inlineStr">
        <is>
          <t>Learning &amp; education</t>
        </is>
      </c>
      <c r="C135" s="30" t="inlineStr">
        <is>
          <t>Learn: debt</t>
        </is>
      </c>
      <c r="D135" s="30" t="inlineStr">
        <is>
          <t>html/learn-debt.html</t>
        </is>
      </c>
      <c r="E135" s="30" t="inlineStr">
        <is>
          <t>Done</t>
        </is>
      </c>
      <c r="F135" s="30" t="inlineStr">
        <is>
          <t>P3</t>
        </is>
      </c>
      <c r="G135" s="30" t="inlineStr">
        <is>
          <t>M</t>
        </is>
      </c>
      <c r="H135" s="30" t="n"/>
      <c r="I135" s="30" t="inlineStr">
        <is>
          <t>learn/debt</t>
        </is>
      </c>
      <c r="J135"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35" s="30" t="inlineStr">
        <is>
          <t>2026-10-15</t>
        </is>
      </c>
    </row>
    <row r="136" ht="15" customHeight="1" s="17">
      <c r="A136" s="30" t="inlineStr">
        <is>
          <t>L-05</t>
        </is>
      </c>
      <c r="B136" s="30" t="inlineStr">
        <is>
          <t>Learning &amp; education</t>
        </is>
      </c>
      <c r="C136" s="30" t="inlineStr">
        <is>
          <t>Learn: equity</t>
        </is>
      </c>
      <c r="D136" s="30" t="inlineStr">
        <is>
          <t>html/learn-equity.html</t>
        </is>
      </c>
      <c r="E136" s="30" t="inlineStr">
        <is>
          <t>Done</t>
        </is>
      </c>
      <c r="F136" s="30" t="inlineStr">
        <is>
          <t>P3</t>
        </is>
      </c>
      <c r="G136" s="30" t="inlineStr">
        <is>
          <t>M</t>
        </is>
      </c>
      <c r="H136" s="30" t="n"/>
      <c r="I136" s="30" t="inlineStr">
        <is>
          <t>learn/equity</t>
        </is>
      </c>
      <c r="J136"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36" s="30" t="inlineStr">
        <is>
          <t>2026-10-15</t>
        </is>
      </c>
    </row>
    <row r="137" ht="15" customHeight="1" s="17">
      <c r="A137" s="30" t="inlineStr">
        <is>
          <t>L-06</t>
        </is>
      </c>
      <c r="B137" s="30" t="inlineStr">
        <is>
          <t>Learning &amp; education</t>
        </is>
      </c>
      <c r="C137" s="30" t="inlineStr">
        <is>
          <t>Learn: etf</t>
        </is>
      </c>
      <c r="D137" s="30" t="inlineStr">
        <is>
          <t>html/learn-etf.html</t>
        </is>
      </c>
      <c r="E137" s="30" t="inlineStr">
        <is>
          <t>Done</t>
        </is>
      </c>
      <c r="F137" s="30" t="inlineStr">
        <is>
          <t>P3</t>
        </is>
      </c>
      <c r="G137" s="30" t="inlineStr">
        <is>
          <t>M</t>
        </is>
      </c>
      <c r="H137" s="30" t="n"/>
      <c r="I137" s="30" t="inlineStr">
        <is>
          <t>learn/etf</t>
        </is>
      </c>
      <c r="J137"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37" s="30" t="inlineStr">
        <is>
          <t>2026-10-15</t>
        </is>
      </c>
    </row>
    <row r="138" ht="15" customHeight="1" s="17">
      <c r="A138" s="30" t="inlineStr">
        <is>
          <t>L-07</t>
        </is>
      </c>
      <c r="B138" s="30" t="inlineStr">
        <is>
          <t>Learning &amp; education</t>
        </is>
      </c>
      <c r="C138" s="30" t="inlineStr">
        <is>
          <t>Learn: fno</t>
        </is>
      </c>
      <c r="D138" s="30" t="inlineStr">
        <is>
          <t>html/learn-fno.html</t>
        </is>
      </c>
      <c r="E138" s="30" t="inlineStr">
        <is>
          <t>Done</t>
        </is>
      </c>
      <c r="F138" s="30" t="inlineStr">
        <is>
          <t>P3</t>
        </is>
      </c>
      <c r="G138" s="30" t="inlineStr">
        <is>
          <t>M</t>
        </is>
      </c>
      <c r="H138" s="30" t="n"/>
      <c r="I138" s="30" t="inlineStr">
        <is>
          <t>learn/fno</t>
        </is>
      </c>
      <c r="J138"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38" s="30" t="inlineStr">
        <is>
          <t>2026-10-15</t>
        </is>
      </c>
    </row>
    <row r="139" ht="15" customHeight="1" s="17">
      <c r="A139" s="30" t="inlineStr">
        <is>
          <t>L-08</t>
        </is>
      </c>
      <c r="B139" s="30" t="inlineStr">
        <is>
          <t>Learning &amp; education</t>
        </is>
      </c>
      <c r="C139" s="30" t="inlineStr">
        <is>
          <t>Learn: forex</t>
        </is>
      </c>
      <c r="D139" s="30" t="inlineStr">
        <is>
          <t>html/learn-forex.html</t>
        </is>
      </c>
      <c r="E139" s="30" t="inlineStr">
        <is>
          <t>Done</t>
        </is>
      </c>
      <c r="F139" s="30" t="inlineStr">
        <is>
          <t>P3</t>
        </is>
      </c>
      <c r="G139" s="30" t="inlineStr">
        <is>
          <t>M</t>
        </is>
      </c>
      <c r="H139" s="30" t="n"/>
      <c r="I139" s="30" t="inlineStr">
        <is>
          <t>learn/forex</t>
        </is>
      </c>
      <c r="J139" s="30" t="inlineStr">
        <is>
          <t>Phone lesson reader (app/learn/[id].tsx), text extracted from the website page by mobile/scripts/extract-learn.py; progress in finos_learned_modules (website shape). 4 passages flagged for fact-check (docs/agent-notes/learn-review.md); the reader shows a notice on each. English only; widgets of the page are not reproduced.</t>
        </is>
      </c>
      <c r="K139" s="30" t="inlineStr">
        <is>
          <t>2026-10-15</t>
        </is>
      </c>
    </row>
    <row r="140" ht="15" customHeight="1" s="17">
      <c r="A140" s="30" t="inlineStr">
        <is>
          <t>L-09</t>
        </is>
      </c>
      <c r="B140" s="30" t="inlineStr">
        <is>
          <t>Learning &amp; education</t>
        </is>
      </c>
      <c r="C140" s="30" t="inlineStr">
        <is>
          <t>Learn: fundamental</t>
        </is>
      </c>
      <c r="D140" s="30" t="inlineStr">
        <is>
          <t>html/learn-fundamental.html</t>
        </is>
      </c>
      <c r="E140" s="30" t="inlineStr">
        <is>
          <t>Done</t>
        </is>
      </c>
      <c r="F140" s="30" t="inlineStr">
        <is>
          <t>P3</t>
        </is>
      </c>
      <c r="G140" s="30" t="inlineStr">
        <is>
          <t>M</t>
        </is>
      </c>
      <c r="H140" s="30" t="n"/>
      <c r="I140" s="30" t="inlineStr">
        <is>
          <t>learn/fundamental</t>
        </is>
      </c>
      <c r="J140" s="30" t="inlineStr">
        <is>
          <t>Phone lesson reader (app/learn/[id].tsx), text extracted from the website page by mobile/scripts/extract-learn.py; progress in finos_learned_modules (website shape). No passage flagged in the content review. English only; widgets of the page are not reproduced.</t>
        </is>
      </c>
      <c r="K140" s="30" t="inlineStr">
        <is>
          <t>2026-10-15</t>
        </is>
      </c>
    </row>
    <row r="141" ht="15" customHeight="1" s="17">
      <c r="A141" s="30" t="inlineStr">
        <is>
          <t>L-10</t>
        </is>
      </c>
      <c r="B141" s="30" t="inlineStr">
        <is>
          <t>Learning &amp; education</t>
        </is>
      </c>
      <c r="C141" s="30" t="inlineStr">
        <is>
          <t>Learn: indicators</t>
        </is>
      </c>
      <c r="D141" s="30" t="inlineStr">
        <is>
          <t>html/learn-indicators.html</t>
        </is>
      </c>
      <c r="E141" s="30" t="inlineStr">
        <is>
          <t>Done</t>
        </is>
      </c>
      <c r="F141" s="30" t="inlineStr">
        <is>
          <t>P3</t>
        </is>
      </c>
      <c r="G141" s="30" t="inlineStr">
        <is>
          <t>M</t>
        </is>
      </c>
      <c r="H141" s="30" t="n"/>
      <c r="I141" s="30" t="inlineStr">
        <is>
          <t>learn/indicators</t>
        </is>
      </c>
      <c r="J141"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41" s="30" t="inlineStr">
        <is>
          <t>2026-10-15</t>
        </is>
      </c>
    </row>
    <row r="142" ht="15" customHeight="1" s="17">
      <c r="A142" s="30" t="inlineStr">
        <is>
          <t>L-11</t>
        </is>
      </c>
      <c r="B142" s="30" t="inlineStr">
        <is>
          <t>Learning &amp; education</t>
        </is>
      </c>
      <c r="C142" s="30" t="inlineStr">
        <is>
          <t>Learn: insurance</t>
        </is>
      </c>
      <c r="D142" s="30" t="inlineStr">
        <is>
          <t>html/learn-insurance.html</t>
        </is>
      </c>
      <c r="E142" s="30" t="inlineStr">
        <is>
          <t>Done</t>
        </is>
      </c>
      <c r="F142" s="30" t="inlineStr">
        <is>
          <t>P3</t>
        </is>
      </c>
      <c r="G142" s="30" t="inlineStr">
        <is>
          <t>M</t>
        </is>
      </c>
      <c r="H142" s="30" t="n"/>
      <c r="I142" s="30" t="inlineStr">
        <is>
          <t>learn/insurance</t>
        </is>
      </c>
      <c r="J142" s="30" t="inlineStr">
        <is>
          <t>Phone lesson reader (app/learn/[id].tsx), text extracted from the website page by mobile/scripts/extract-learn.py; progress in finos_learned_modules (website shape). 3 passages flagged for fact-check (docs/agent-notes/learn-review.md); the reader shows a notice on each. English only; widgets of the page are not reproduced.</t>
        </is>
      </c>
      <c r="K142" s="30" t="inlineStr">
        <is>
          <t>2026-10-15</t>
        </is>
      </c>
    </row>
    <row r="143" ht="15" customHeight="1" s="17">
      <c r="A143" s="30" t="inlineStr">
        <is>
          <t>L-12</t>
        </is>
      </c>
      <c r="B143" s="30" t="inlineStr">
        <is>
          <t>Learning &amp; education</t>
        </is>
      </c>
      <c r="C143" s="30" t="inlineStr">
        <is>
          <t>Learn: metrics</t>
        </is>
      </c>
      <c r="D143" s="30" t="inlineStr">
        <is>
          <t>html/learn-metrics.html</t>
        </is>
      </c>
      <c r="E143" s="30" t="inlineStr">
        <is>
          <t>Done</t>
        </is>
      </c>
      <c r="F143" s="30" t="inlineStr">
        <is>
          <t>P3</t>
        </is>
      </c>
      <c r="G143" s="30" t="inlineStr">
        <is>
          <t>M</t>
        </is>
      </c>
      <c r="H143" s="30" t="n"/>
      <c r="I143" s="30" t="inlineStr">
        <is>
          <t>learn/metrics</t>
        </is>
      </c>
      <c r="J143"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43" s="30" t="inlineStr">
        <is>
          <t>2026-10-15</t>
        </is>
      </c>
    </row>
    <row r="144" ht="15" customHeight="1" s="17">
      <c r="A144" s="30" t="inlineStr">
        <is>
          <t>L-13</t>
        </is>
      </c>
      <c r="B144" s="30" t="inlineStr">
        <is>
          <t>Learning &amp; education</t>
        </is>
      </c>
      <c r="C144" s="30" t="inlineStr">
        <is>
          <t>Learn: mf</t>
        </is>
      </c>
      <c r="D144" s="30" t="inlineStr">
        <is>
          <t>html/learn-mf.html</t>
        </is>
      </c>
      <c r="E144" s="30" t="inlineStr">
        <is>
          <t>Done</t>
        </is>
      </c>
      <c r="F144" s="30" t="inlineStr">
        <is>
          <t>P3</t>
        </is>
      </c>
      <c r="G144" s="30" t="inlineStr">
        <is>
          <t>M</t>
        </is>
      </c>
      <c r="H144" s="30" t="n"/>
      <c r="I144" s="30" t="inlineStr">
        <is>
          <t>learn/mf</t>
        </is>
      </c>
      <c r="J144" s="30" t="inlineStr">
        <is>
          <t>Phone lesson reader (app/learn/[id].tsx), text extracted from the website page by mobile/scripts/extract-learn.py; progress in finos_learned_modules (website shape). 2 passages flagged for fact-check (docs/agent-notes/learn-review.md); the reader shows a notice on each. English only; widgets of the page are not reproduced.</t>
        </is>
      </c>
      <c r="K144" s="30" t="inlineStr">
        <is>
          <t>2026-10-15</t>
        </is>
      </c>
    </row>
    <row r="145" ht="15" customHeight="1" s="17">
      <c r="A145" s="30" t="inlineStr">
        <is>
          <t>L-14</t>
        </is>
      </c>
      <c r="B145" s="30" t="inlineStr">
        <is>
          <t>Learning &amp; education</t>
        </is>
      </c>
      <c r="C145" s="30" t="inlineStr">
        <is>
          <t>Learn: money-market</t>
        </is>
      </c>
      <c r="D145" s="30" t="inlineStr">
        <is>
          <t>html/learn-money-market.html</t>
        </is>
      </c>
      <c r="E145" s="30" t="inlineStr">
        <is>
          <t>Done</t>
        </is>
      </c>
      <c r="F145" s="30" t="inlineStr">
        <is>
          <t>P3</t>
        </is>
      </c>
      <c r="G145" s="30" t="inlineStr">
        <is>
          <t>M</t>
        </is>
      </c>
      <c r="H145" s="30" t="n"/>
      <c r="I145" s="30" t="inlineStr">
        <is>
          <t>learn/money-market</t>
        </is>
      </c>
      <c r="J145" s="30" t="inlineStr">
        <is>
          <t>Phone lesson reader (app/learn/[id].tsx), text extracted from the website page by mobile/scripts/extract-learn.py; progress in finos_learned_modules (website shape). 3 passages flagged for fact-check (docs/agent-notes/learn-review.md); the reader shows a notice on each. English only; widgets of the page are not reproduced.</t>
        </is>
      </c>
      <c r="K145" s="30" t="inlineStr">
        <is>
          <t>2026-10-15</t>
        </is>
      </c>
    </row>
    <row r="146" ht="15" customHeight="1" s="17">
      <c r="A146" s="30" t="inlineStr">
        <is>
          <t>L-15</t>
        </is>
      </c>
      <c r="B146" s="30" t="inlineStr">
        <is>
          <t>Learning &amp; education</t>
        </is>
      </c>
      <c r="C146" s="30" t="inlineStr">
        <is>
          <t>Learn: technical</t>
        </is>
      </c>
      <c r="D146" s="30" t="inlineStr">
        <is>
          <t>html/learn-technical.html</t>
        </is>
      </c>
      <c r="E146" s="30" t="inlineStr">
        <is>
          <t>Done</t>
        </is>
      </c>
      <c r="F146" s="30" t="inlineStr">
        <is>
          <t>P3</t>
        </is>
      </c>
      <c r="G146" s="30" t="inlineStr">
        <is>
          <t>M</t>
        </is>
      </c>
      <c r="H146" s="30" t="n"/>
      <c r="I146" s="30" t="inlineStr">
        <is>
          <t>learn/technical</t>
        </is>
      </c>
      <c r="J146" s="30" t="inlineStr">
        <is>
          <t>Phone lesson reader (app/learn/[id].tsx), text extracted from the website page by mobile/scripts/extract-learn.py; progress in finos_learned_modules (website shape). No passage flagged in the content review. English only; widgets of the page are not reproduced.</t>
        </is>
      </c>
      <c r="K146" s="30" t="inlineStr">
        <is>
          <t>2026-10-15</t>
        </is>
      </c>
    </row>
    <row r="147" ht="15" customHeight="1" s="17">
      <c r="A147" s="30" t="inlineStr">
        <is>
          <t>L-16</t>
        </is>
      </c>
      <c r="B147" s="30" t="inlineStr">
        <is>
          <t>Learning &amp; education</t>
        </is>
      </c>
      <c r="C147" s="30" t="inlineStr">
        <is>
          <t>Insight: debt</t>
        </is>
      </c>
      <c r="D147" s="30" t="inlineStr">
        <is>
          <t>html/insight-debt.html</t>
        </is>
      </c>
      <c r="E147" s="30" t="inlineStr">
        <is>
          <t>Done</t>
        </is>
      </c>
      <c r="F147" s="30" t="inlineStr">
        <is>
          <t>P3</t>
        </is>
      </c>
      <c r="G147" s="30" t="inlineStr">
        <is>
          <t>S</t>
        </is>
      </c>
      <c r="H147" s="30" t="n"/>
      <c r="I147" s="30" t="inlineStr">
        <is>
          <t>learn/insight-debt</t>
        </is>
      </c>
      <c r="J147" s="30" t="inlineStr">
        <is>
          <t>Phone lesson reader (app/learn/[id].tsx), text extracted from the website page by mobile/scripts/extract-learn.py; progress in finos_learned_modules (website shape). No passage flagged in the content review. English only; widgets of the page are not reproduced.</t>
        </is>
      </c>
      <c r="K147" s="30" t="inlineStr">
        <is>
          <t>2026-10-15</t>
        </is>
      </c>
    </row>
    <row r="148" ht="15" customHeight="1" s="17">
      <c r="A148" s="30" t="inlineStr">
        <is>
          <t>L-17</t>
        </is>
      </c>
      <c r="B148" s="30" t="inlineStr">
        <is>
          <t>Learning &amp; education</t>
        </is>
      </c>
      <c r="C148" s="30" t="inlineStr">
        <is>
          <t>Insight: emi</t>
        </is>
      </c>
      <c r="D148" s="30" t="inlineStr">
        <is>
          <t>html/insight-emi.html</t>
        </is>
      </c>
      <c r="E148" s="30" t="inlineStr">
        <is>
          <t>Done</t>
        </is>
      </c>
      <c r="F148" s="30" t="inlineStr">
        <is>
          <t>P3</t>
        </is>
      </c>
      <c r="G148" s="30" t="inlineStr">
        <is>
          <t>S</t>
        </is>
      </c>
      <c r="H148" s="30" t="n"/>
      <c r="I148" s="30" t="inlineStr">
        <is>
          <t>learn/insight-emi</t>
        </is>
      </c>
      <c r="J148"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48" s="30" t="inlineStr">
        <is>
          <t>2026-10-15</t>
        </is>
      </c>
    </row>
    <row r="149" ht="15" customHeight="1" s="17">
      <c r="A149" s="30" t="inlineStr">
        <is>
          <t>L-18</t>
        </is>
      </c>
      <c r="B149" s="30" t="inlineStr">
        <is>
          <t>Learning &amp; education</t>
        </is>
      </c>
      <c r="C149" s="30" t="inlineStr">
        <is>
          <t>Insight: inflation</t>
        </is>
      </c>
      <c r="D149" s="30" t="inlineStr">
        <is>
          <t>html/insight-inflation.html</t>
        </is>
      </c>
      <c r="E149" s="30" t="inlineStr">
        <is>
          <t>Done</t>
        </is>
      </c>
      <c r="F149" s="30" t="inlineStr">
        <is>
          <t>P3</t>
        </is>
      </c>
      <c r="G149" s="30" t="inlineStr">
        <is>
          <t>S</t>
        </is>
      </c>
      <c r="H149" s="30" t="n"/>
      <c r="I149" s="30" t="inlineStr">
        <is>
          <t>learn/insight-inflation</t>
        </is>
      </c>
      <c r="J149"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49" s="30" t="inlineStr">
        <is>
          <t>2026-10-15</t>
        </is>
      </c>
    </row>
    <row r="150" ht="15" customHeight="1" s="17">
      <c r="A150" s="30" t="inlineStr">
        <is>
          <t>L-19</t>
        </is>
      </c>
      <c r="B150" s="30" t="inlineStr">
        <is>
          <t>Learning &amp; education</t>
        </is>
      </c>
      <c r="C150" s="30" t="inlineStr">
        <is>
          <t>Insight: rbi</t>
        </is>
      </c>
      <c r="D150" s="30" t="inlineStr">
        <is>
          <t>html/insight-rbi.html</t>
        </is>
      </c>
      <c r="E150" s="30" t="inlineStr">
        <is>
          <t>Done</t>
        </is>
      </c>
      <c r="F150" s="30" t="inlineStr">
        <is>
          <t>P3</t>
        </is>
      </c>
      <c r="G150" s="30" t="inlineStr">
        <is>
          <t>S</t>
        </is>
      </c>
      <c r="H150" s="30" t="n"/>
      <c r="I150" s="30" t="inlineStr">
        <is>
          <t>learn/insight-rbi</t>
        </is>
      </c>
      <c r="J150" s="30" t="inlineStr">
        <is>
          <t>Phone lesson reader (app/learn/[id].tsx), text extracted from the website page by mobile/scripts/extract-learn.py; progress in finos_learned_modules (website shape). No passage flagged in the content review. English only; widgets of the page are not reproduced.</t>
        </is>
      </c>
      <c r="K150" s="30" t="inlineStr">
        <is>
          <t>2026-10-15</t>
        </is>
      </c>
    </row>
    <row r="151" ht="15" customHeight="1" s="17">
      <c r="A151" s="30" t="inlineStr">
        <is>
          <t>L-20</t>
        </is>
      </c>
      <c r="B151" s="30" t="inlineStr">
        <is>
          <t>Learning &amp; education</t>
        </is>
      </c>
      <c r="C151" s="30" t="inlineStr">
        <is>
          <t>Insight: sip</t>
        </is>
      </c>
      <c r="D151" s="30" t="inlineStr">
        <is>
          <t>html/insight-sip.html</t>
        </is>
      </c>
      <c r="E151" s="30" t="inlineStr">
        <is>
          <t>Done</t>
        </is>
      </c>
      <c r="F151" s="30" t="inlineStr">
        <is>
          <t>P3</t>
        </is>
      </c>
      <c r="G151" s="30" t="inlineStr">
        <is>
          <t>S</t>
        </is>
      </c>
      <c r="H151" s="30" t="n"/>
      <c r="I151" s="30" t="inlineStr">
        <is>
          <t>learn/insight-sip</t>
        </is>
      </c>
      <c r="J151" s="30" t="inlineStr">
        <is>
          <t>Phone lesson reader (app/learn/[id].tsx), text extracted from the website page by mobile/scripts/extract-learn.py; progress in finos_learned_modules (website shape). 1 passage flagged for fact-check (docs/agent-notes/learn-review.md); the reader shows a notice on each. English only; widgets of the page are not reproduced.</t>
        </is>
      </c>
      <c r="K151" s="30" t="inlineStr">
        <is>
          <t>2026-10-15</t>
        </is>
      </c>
    </row>
    <row r="152" ht="15" customHeight="1" s="17">
      <c r="A152" s="30" t="inlineStr">
        <is>
          <t>L-21</t>
        </is>
      </c>
      <c r="B152" s="30" t="inlineStr">
        <is>
          <t>Learning &amp; education</t>
        </is>
      </c>
      <c r="C152" s="30" t="inlineStr">
        <is>
          <t>Finance 101</t>
        </is>
      </c>
      <c r="D152" s="30" t="inlineStr">
        <is>
          <t>html/finance101.html</t>
        </is>
      </c>
      <c r="E152" s="30" t="inlineStr">
        <is>
          <t>Done</t>
        </is>
      </c>
      <c r="F152" s="30" t="inlineStr">
        <is>
          <t>P3</t>
        </is>
      </c>
      <c r="G152" s="30" t="inlineStr">
        <is>
          <t>M</t>
        </is>
      </c>
      <c r="H152" s="30" t="n"/>
      <c r="I152" s="30" t="inlineStr">
        <is>
          <t>learn/finance101</t>
        </is>
      </c>
      <c r="J152" s="30" t="inlineStr">
        <is>
          <t>Phone lesson reader (app/learn/[id].tsx), text extracted from the website page by mobile/scripts/extract-learn.py; progress in finos_learned_modules (website shape). 4 passages flagged for fact-check (docs/agent-notes/learn-review.md); the reader shows a notice on each. English only; widgets of the page are not reproduced.</t>
        </is>
      </c>
      <c r="K152" s="30" t="inlineStr">
        <is>
          <t>2026-10-15</t>
        </is>
      </c>
    </row>
    <row r="153" ht="15" customHeight="1" s="17">
      <c r="A153" s="30" t="inlineStr">
        <is>
          <t>L-22</t>
        </is>
      </c>
      <c r="B153" s="30" t="inlineStr">
        <is>
          <t>Learning &amp; education</t>
        </is>
      </c>
      <c r="C153" s="30" t="inlineStr">
        <is>
          <t>Foundations</t>
        </is>
      </c>
      <c r="D153" s="30" t="inlineStr">
        <is>
          <t>html/foundations.html</t>
        </is>
      </c>
      <c r="E153" s="30" t="inlineStr">
        <is>
          <t>Done</t>
        </is>
      </c>
      <c r="F153" s="30" t="inlineStr">
        <is>
          <t>P3</t>
        </is>
      </c>
      <c r="G153" s="30" t="inlineStr">
        <is>
          <t>M</t>
        </is>
      </c>
      <c r="H153" s="30" t="n"/>
      <c r="I153" s="30" t="inlineStr">
        <is>
          <t>learn/foundations</t>
        </is>
      </c>
      <c r="J153" s="30" t="inlineStr">
        <is>
          <t>Learn wave 2 (docs/agent-notes/learn2.md): a menu page on the website: the phone page lists its five entries, each mapped to a lesson, tool or tab. Web preview only. Not verified on a device.</t>
        </is>
      </c>
      <c r="K153" s="30" t="inlineStr">
        <is>
          <t>2026-10-17</t>
        </is>
      </c>
    </row>
    <row r="154" ht="15" customHeight="1" s="17">
      <c r="A154" s="30" t="inlineStr">
        <is>
          <t>L-23</t>
        </is>
      </c>
      <c r="B154" s="30" t="inlineStr">
        <is>
          <t>Learning &amp; education</t>
        </is>
      </c>
      <c r="C154" s="30" t="inlineStr">
        <is>
          <t>Principles</t>
        </is>
      </c>
      <c r="D154" s="30" t="inlineStr">
        <is>
          <t>html/principles.html</t>
        </is>
      </c>
      <c r="E154" s="30" t="inlineStr">
        <is>
          <t>Done</t>
        </is>
      </c>
      <c r="F154" s="30" t="inlineStr">
        <is>
          <t>P3</t>
        </is>
      </c>
      <c r="G154" s="30" t="inlineStr">
        <is>
          <t>M</t>
        </is>
      </c>
      <c r="H154" s="30" t="n"/>
      <c r="I154" s="30" t="inlineStr">
        <is>
          <t>learn/principles</t>
        </is>
      </c>
      <c r="J154" s="30" t="inlineStr">
        <is>
          <t>Phone lesson reader (app/learn/[id].tsx), text extracted from the website page by mobile/scripts/extract-learn.py; progress in finos_learned_modules (website shape). No passage flagged in the content review. English only; widgets of the page are not reproduced.</t>
        </is>
      </c>
      <c r="K154" s="30" t="inlineStr">
        <is>
          <t>2026-10-15</t>
        </is>
      </c>
    </row>
    <row r="155" ht="15" customHeight="1" s="17">
      <c r="A155" s="30" t="inlineStr">
        <is>
          <t>L-24</t>
        </is>
      </c>
      <c r="B155" s="30" t="inlineStr">
        <is>
          <t>Learning &amp; education</t>
        </is>
      </c>
      <c r="C155" s="30" t="inlineStr">
        <is>
          <t>Investor Mindset</t>
        </is>
      </c>
      <c r="D155" s="30" t="inlineStr">
        <is>
          <t>html/investor-mindset.html</t>
        </is>
      </c>
      <c r="E155" s="30" t="inlineStr">
        <is>
          <t>Not planned</t>
        </is>
      </c>
      <c r="F155" s="30" t="inlineStr">
        <is>
          <t>P3</t>
        </is>
      </c>
      <c r="G155" s="30" t="inlineStr">
        <is>
          <t>M</t>
        </is>
      </c>
      <c r="H155" s="30" t="n"/>
      <c r="I155" s="30" t="inlineStr">
        <is>
          <t>learn/investor-mindset</t>
        </is>
      </c>
      <c r="J155" s="30" t="inlineStr">
        <is>
          <t>Learn wave 2 (docs/agent-notes/learn2.md): demonstration panels with example numbers ("Simulated sector momentum scores"); not flattened. The page says so and points to Financial DNA, which is a different tool. Not verified on a device.</t>
        </is>
      </c>
      <c r="K155" s="30" t="inlineStr">
        <is>
          <t>2026-10-17</t>
        </is>
      </c>
    </row>
    <row r="156" ht="15" customHeight="1" s="17">
      <c r="A156" s="30" t="inlineStr">
        <is>
          <t>L-25</t>
        </is>
      </c>
      <c r="B156" s="30" t="inlineStr">
        <is>
          <t>Learning &amp; education</t>
        </is>
      </c>
      <c r="C156" s="30" t="inlineStr">
        <is>
          <t>Investor Profile</t>
        </is>
      </c>
      <c r="D156" s="30" t="inlineStr">
        <is>
          <t>html/investor-profile.html</t>
        </is>
      </c>
      <c r="E156" s="30" t="inlineStr">
        <is>
          <t>Not planned</t>
        </is>
      </c>
      <c r="F156" s="30" t="inlineStr">
        <is>
          <t>P3</t>
        </is>
      </c>
      <c r="G156" s="30" t="inlineStr">
        <is>
          <t>M</t>
        </is>
      </c>
      <c r="H156" s="30" t="n"/>
      <c r="I156" s="30" t="inlineStr">
        <is>
          <t>learn/investor-profile</t>
        </is>
      </c>
      <c r="J156" s="30" t="inlineStr">
        <is>
          <t>Learn wave 2 (docs/agent-notes/learn2.md): an imagined "Indian market translation" of ten investors; not copied. The page says so and points to Financial DNA, a different tool. Not verified on a device.</t>
        </is>
      </c>
      <c r="K156" s="30" t="inlineStr">
        <is>
          <t>2026-10-17</t>
        </is>
      </c>
    </row>
    <row r="157" ht="15" customHeight="1" s="17">
      <c r="A157" s="30" t="inlineStr">
        <is>
          <t>L-26</t>
        </is>
      </c>
      <c r="B157" s="30" t="inlineStr">
        <is>
          <t>Learning &amp; education</t>
        </is>
      </c>
      <c r="C157" s="30" t="inlineStr">
        <is>
          <t>Financial DNA quiz</t>
        </is>
      </c>
      <c r="D157" s="30" t="inlineStr">
        <is>
          <t>html/dna.html</t>
        </is>
      </c>
      <c r="E157" s="30" t="inlineStr">
        <is>
          <t>Done</t>
        </is>
      </c>
      <c r="F157" s="30" t="inlineStr">
        <is>
          <t>P3</t>
        </is>
      </c>
      <c r="G157" s="30" t="inlineStr">
        <is>
          <t>M</t>
        </is>
      </c>
      <c r="H157" s="30" t="n"/>
      <c r="I157" s="30" t="inlineStr">
        <is>
          <t>app/tools/dna.tsx</t>
        </is>
      </c>
      <c r="J157" s="30" t="n"/>
      <c r="K157" s="30" t="inlineStr">
        <is>
          <t>2026-10-13</t>
        </is>
      </c>
    </row>
    <row r="158" ht="15" customHeight="1" s="17">
      <c r="A158" s="30" t="inlineStr">
        <is>
          <t>L-27</t>
        </is>
      </c>
      <c r="B158" s="30" t="inlineStr">
        <is>
          <t>Learning &amp; education</t>
        </is>
      </c>
      <c r="C158" s="30" t="inlineStr">
        <is>
          <t>Mindset Simulator</t>
        </is>
      </c>
      <c r="D158" s="30" t="inlineStr">
        <is>
          <t>html/mindset-sim.html</t>
        </is>
      </c>
      <c r="E158" s="30" t="inlineStr">
        <is>
          <t>Done</t>
        </is>
      </c>
      <c r="F158" s="30" t="inlineStr">
        <is>
          <t>P3</t>
        </is>
      </c>
      <c r="G158" s="30" t="inlineStr">
        <is>
          <t>M</t>
        </is>
      </c>
      <c r="H158" s="30" t="n"/>
      <c r="I158" s="30" t="inlineStr">
        <is>
          <t>learn/mindset-sim</t>
        </is>
      </c>
      <c r="J158" s="30" t="inlineStr">
        <is>
          <t>Learn wave 2 (docs/agent-notes/learn2.md): the 20 scenarios as case studies (Hinglish as on the website), each passage with its source line. The choose-then-reveal flow, score and AI debrief are not on the phone and the lesson says so. Not verified on a device.</t>
        </is>
      </c>
      <c r="K158" s="30" t="inlineStr">
        <is>
          <t>2026-10-17</t>
        </is>
      </c>
    </row>
    <row r="159" ht="15" customHeight="1" s="17">
      <c r="A159" s="30" t="inlineStr">
        <is>
          <t>L-28</t>
        </is>
      </c>
      <c r="B159" s="30" t="inlineStr">
        <is>
          <t>Learning &amp; education</t>
        </is>
      </c>
      <c r="C159" s="30" t="inlineStr">
        <is>
          <t>Mindset Simulator hub</t>
        </is>
      </c>
      <c r="D159" s="30" t="inlineStr">
        <is>
          <t>html/mindset-sim-hub.html</t>
        </is>
      </c>
      <c r="E159" s="30" t="inlineStr">
        <is>
          <t>Done</t>
        </is>
      </c>
      <c r="F159" s="30" t="inlineStr">
        <is>
          <t>P3</t>
        </is>
      </c>
      <c r="G159" s="30" t="inlineStr">
        <is>
          <t>M</t>
        </is>
      </c>
      <c r="H159" s="30" t="n"/>
      <c r="I159" s="30" t="inlineStr">
        <is>
          <t>learn/mindset-sim-hub</t>
        </is>
      </c>
      <c r="J159" s="30" t="inlineStr">
        <is>
          <t>Learn wave 2 (docs/agent-notes/learn2.md): the website page only forwards to the Simulator Hub; the phone page says so. Not verified on a device.</t>
        </is>
      </c>
      <c r="K159" s="30" t="inlineStr">
        <is>
          <t>2026-10-17</t>
        </is>
      </c>
    </row>
    <row r="160" ht="15" customHeight="1" s="17">
      <c r="A160" s="30" t="inlineStr">
        <is>
          <t>L-29</t>
        </is>
      </c>
      <c r="B160" s="30" t="inlineStr">
        <is>
          <t>Learning &amp; education</t>
        </is>
      </c>
      <c r="C160" s="30" t="inlineStr">
        <is>
          <t>Train your mindset</t>
        </is>
      </c>
      <c r="D160" s="30" t="inlineStr">
        <is>
          <t>html/train-mindset.html</t>
        </is>
      </c>
      <c r="E160" s="30" t="inlineStr">
        <is>
          <t>Done</t>
        </is>
      </c>
      <c r="F160" s="30" t="inlineStr">
        <is>
          <t>P3</t>
        </is>
      </c>
      <c r="G160" s="30" t="inlineStr">
        <is>
          <t>M</t>
        </is>
      </c>
      <c r="H160" s="30" t="n"/>
      <c r="I160" s="30" t="inlineStr">
        <is>
          <t>learn/train-mindset</t>
        </is>
      </c>
      <c r="J160" s="30" t="inlineStr">
        <is>
          <t>Learn wave 2 (docs/agent-notes/learn2.md): the website page only forwards to the Simulator Hub; the phone page says so. Not verified on a device.</t>
        </is>
      </c>
      <c r="K160" s="30" t="inlineStr">
        <is>
          <t>2026-10-17</t>
        </is>
      </c>
    </row>
    <row r="161" ht="15" customHeight="1" s="17">
      <c r="A161" s="30" t="inlineStr">
        <is>
          <t>L-30</t>
        </is>
      </c>
      <c r="B161" s="30" t="inlineStr">
        <is>
          <t>Learning &amp; education</t>
        </is>
      </c>
      <c r="C161" s="30" t="inlineStr">
        <is>
          <t>Not money</t>
        </is>
      </c>
      <c r="D161" s="30" t="inlineStr">
        <is>
          <t>html/not-money.html</t>
        </is>
      </c>
      <c r="E161" s="30" t="inlineStr">
        <is>
          <t>Done</t>
        </is>
      </c>
      <c r="F161" s="30" t="inlineStr">
        <is>
          <t>P3</t>
        </is>
      </c>
      <c r="G161" s="30" t="inlineStr">
        <is>
          <t>M</t>
        </is>
      </c>
      <c r="H161" s="30" t="n"/>
      <c r="I161" s="30" t="inlineStr">
        <is>
          <t>learn/not-money</t>
        </is>
      </c>
      <c r="J161" s="30" t="inlineStr">
        <is>
          <t>Learn wave 2 (docs/agent-notes/learn2.md): the website page only forwards to the AI Mindset Simulator; the phone page says so. Not verified on a device.</t>
        </is>
      </c>
      <c r="K161" s="30" t="inlineStr">
        <is>
          <t>2026-10-17</t>
        </is>
      </c>
    </row>
    <row r="162" ht="15" customHeight="1" s="17">
      <c r="A162" s="30" t="inlineStr">
        <is>
          <t>L-31</t>
        </is>
      </c>
      <c r="B162" s="30" t="inlineStr">
        <is>
          <t>Learning &amp; education</t>
        </is>
      </c>
      <c r="C162" s="30" t="inlineStr">
        <is>
          <t>Decision tools</t>
        </is>
      </c>
      <c r="D162" s="30" t="inlineStr">
        <is>
          <t>html/decision.html</t>
        </is>
      </c>
      <c r="E162" s="30" t="inlineStr">
        <is>
          <t>Done</t>
        </is>
      </c>
      <c r="F162" s="30" t="inlineStr">
        <is>
          <t>P3</t>
        </is>
      </c>
      <c r="G162" s="30" t="inlineStr">
        <is>
          <t>M</t>
        </is>
      </c>
      <c r="H162" s="30" t="n"/>
      <c r="I162" s="30" t="inlineStr">
        <is>
          <t>learn/decision</t>
        </is>
      </c>
      <c r="J162" s="30" t="inlineStr">
        <is>
          <t>Learn wave 2 (docs/agent-notes/learn2.md): lesson text (fast vs slow thinking, three biases, checklist). The doughnut chart of fixed example slices is left out and said so. Not verified on a device.</t>
        </is>
      </c>
      <c r="K162" s="30" t="inlineStr">
        <is>
          <t>2026-10-17</t>
        </is>
      </c>
    </row>
    <row r="163" ht="15" customHeight="1" s="17">
      <c r="A163" s="30" t="inlineStr">
        <is>
          <t>L-32</t>
        </is>
      </c>
      <c r="B163" s="30" t="inlineStr">
        <is>
          <t>Learning &amp; education</t>
        </is>
      </c>
      <c r="C163" s="30" t="inlineStr">
        <is>
          <t>Clarity</t>
        </is>
      </c>
      <c r="D163" s="30" t="inlineStr">
        <is>
          <t>html/clarity.html</t>
        </is>
      </c>
      <c r="E163" s="30" t="inlineStr">
        <is>
          <t>Done</t>
        </is>
      </c>
      <c r="F163" s="30" t="inlineStr">
        <is>
          <t>P3</t>
        </is>
      </c>
      <c r="G163" s="30" t="inlineStr">
        <is>
          <t>M</t>
        </is>
      </c>
      <c r="H163" s="30" t="n"/>
      <c r="I163" s="30" t="inlineStr">
        <is>
          <t>learn/clarity</t>
        </is>
      </c>
      <c r="J163" s="30" t="inlineStr">
        <is>
          <t>Learn wave 2 (docs/agent-notes/learn2.md): lesson text plus a link to Net worth. The scanner strip, DONE/CURRENT/LOCKED labels and the EMI slider (rough x120x1.8 rule) are not shown; each is explained. Not verified on a device.</t>
        </is>
      </c>
      <c r="K163" s="30" t="inlineStr">
        <is>
          <t>2026-10-17</t>
        </is>
      </c>
    </row>
    <row r="164" ht="15" customHeight="1" s="17">
      <c r="A164" s="30" t="inlineStr">
        <is>
          <t>L-33</t>
        </is>
      </c>
      <c r="B164" s="30" t="inlineStr">
        <is>
          <t>Learning &amp; education</t>
        </is>
      </c>
      <c r="C164" s="30" t="inlineStr">
        <is>
          <t>What-if scenarios</t>
        </is>
      </c>
      <c r="D164" s="30" t="inlineStr">
        <is>
          <t>html/scenarios.html</t>
        </is>
      </c>
      <c r="E164" s="30" t="inlineStr">
        <is>
          <t>Partial</t>
        </is>
      </c>
      <c r="F164" s="30" t="inlineStr">
        <is>
          <t>P3</t>
        </is>
      </c>
      <c r="G164" s="30" t="inlineStr">
        <is>
          <t>M</t>
        </is>
      </c>
      <c r="H164" s="30" t="n"/>
      <c r="I164" s="30" t="inlineStr">
        <is>
          <t>learn/scenarios</t>
        </is>
      </c>
      <c r="J164" s="30" t="inlineStr">
        <is>
          <t>Learn wave 2 (docs/agent-notes/learn2.md): a hub: the nine what-if simulations run on stored numbers with AI narration on the website and are not on the phone; each is listed with the closest phone tool (or none). Not verified on a device.</t>
        </is>
      </c>
      <c r="K164" s="30" t="inlineStr">
        <is>
          <t>2026-10-17</t>
        </is>
      </c>
    </row>
    <row r="165" ht="15" customHeight="1" s="17">
      <c r="A165" s="30" t="inlineStr">
        <is>
          <t>L-34</t>
        </is>
      </c>
      <c r="B165" s="30" t="inlineStr">
        <is>
          <t>Learning &amp; education</t>
        </is>
      </c>
      <c r="C165" s="30" t="inlineStr">
        <is>
          <t>Life timeline</t>
        </is>
      </c>
      <c r="D165" s="30" t="inlineStr">
        <is>
          <t>html/timeline.html</t>
        </is>
      </c>
      <c r="E165" s="30" t="inlineStr">
        <is>
          <t>Not planned</t>
        </is>
      </c>
      <c r="F165" s="30" t="inlineStr">
        <is>
          <t>P3</t>
        </is>
      </c>
      <c r="G165" s="30" t="inlineStr">
        <is>
          <t>M</t>
        </is>
      </c>
      <c r="H165" s="30" t="n"/>
      <c r="I165" s="30" t="inlineStr">
        <is>
          <t>learn/timeline</t>
        </is>
      </c>
      <c r="J165" s="30" t="inlineStr">
        <is>
          <t>Learn wave 2 (docs/agent-notes/learn2.md): the website page shows generated sample scores whenever it cannot reach its alert service, so it was not copied. The phone page explains this and names Money Score as the nearest real thing. Not verified on a device.</t>
        </is>
      </c>
      <c r="K165" s="30" t="inlineStr">
        <is>
          <t>2026-10-17</t>
        </is>
      </c>
    </row>
    <row r="166" ht="15" customHeight="1" s="17">
      <c r="A166" s="30" t="inlineStr">
        <is>
          <t>L-35</t>
        </is>
      </c>
      <c r="B166" s="30" t="inlineStr">
        <is>
          <t>Learning &amp; education</t>
        </is>
      </c>
      <c r="C166" s="30" t="inlineStr">
        <is>
          <t>Fear roadmap</t>
        </is>
      </c>
      <c r="D166" s="30" t="inlineStr">
        <is>
          <t>html/fear-roadmap.html</t>
        </is>
      </c>
      <c r="E166" s="30" t="inlineStr">
        <is>
          <t>Not planned</t>
        </is>
      </c>
      <c r="F166" s="30" t="inlineStr">
        <is>
          <t>P3</t>
        </is>
      </c>
      <c r="G166" s="30" t="inlineStr">
        <is>
          <t>M</t>
        </is>
      </c>
      <c r="H166" s="30" t="n"/>
      <c r="I166" s="30" t="inlineStr">
        <is>
          <t>learn/fear-roadmap</t>
        </is>
      </c>
      <c r="J166" s="30" t="inlineStr">
        <is>
          <t>Learn wave 2 (docs/agent-notes/learn2.md): a quiz whose answers pick written outcomes, so not lesson text for everyone; the page explains why there is no honest equivalent. Not verified on a device.</t>
        </is>
      </c>
      <c r="K166" s="30" t="inlineStr">
        <is>
          <t>2026-10-17</t>
        </is>
      </c>
    </row>
    <row r="167" ht="15" customHeight="1" s="17">
      <c r="A167" s="30" t="inlineStr">
        <is>
          <t>L-36</t>
        </is>
      </c>
      <c r="B167" s="30" t="inlineStr">
        <is>
          <t>Learning &amp; education</t>
        </is>
      </c>
      <c r="C167" s="30" t="inlineStr">
        <is>
          <t>Roadmap</t>
        </is>
      </c>
      <c r="D167" s="30" t="inlineStr">
        <is>
          <t>html/roadmap.html</t>
        </is>
      </c>
      <c r="E167" s="30" t="inlineStr">
        <is>
          <t>Partial</t>
        </is>
      </c>
      <c r="F167" s="30" t="inlineStr">
        <is>
          <t>P3</t>
        </is>
      </c>
      <c r="G167" s="30" t="inlineStr">
        <is>
          <t>M</t>
        </is>
      </c>
      <c r="H167" s="30" t="n"/>
      <c r="I167" s="30" t="inlineStr">
        <is>
          <t>learn/roadmap</t>
        </is>
      </c>
      <c r="J167" s="30" t="inlineStr">
        <is>
          <t>Learn wave 2 (docs/agent-notes/learn2.md): a hub: the personalised roadmap and mind map are built from stored data on the website and are not on the phone; its 7-path menu is listed with the phone equivalents (e.g. Arya Plan). Not verified on a device.</t>
        </is>
      </c>
      <c r="K167" s="30" t="inlineStr">
        <is>
          <t>2026-10-17</t>
        </is>
      </c>
    </row>
    <row r="168" ht="15" customHeight="1" s="17">
      <c r="A168" s="30" t="inlineStr">
        <is>
          <t>L-37</t>
        </is>
      </c>
      <c r="B168" s="30" t="inlineStr">
        <is>
          <t>Learning &amp; education</t>
        </is>
      </c>
      <c r="C168" s="30" t="inlineStr">
        <is>
          <t>Roadmaps</t>
        </is>
      </c>
      <c r="D168" s="30" t="inlineStr">
        <is>
          <t>html/roadmaps.html</t>
        </is>
      </c>
      <c r="E168" s="30" t="inlineStr">
        <is>
          <t>Done</t>
        </is>
      </c>
      <c r="F168" s="30" t="inlineStr">
        <is>
          <t>P3</t>
        </is>
      </c>
      <c r="G168" s="30" t="inlineStr">
        <is>
          <t>M</t>
        </is>
      </c>
      <c r="H168" s="30" t="n"/>
      <c r="I168" s="30" t="inlineStr">
        <is>
          <t>learn/roadmaps</t>
        </is>
      </c>
      <c r="J168" s="30" t="inlineStr">
        <is>
          <t>Learn wave 2 (docs/agent-notes/learn2.md): the website page only redirects to Roadmap; the phone page says so. Not verified on a device.</t>
        </is>
      </c>
      <c r="K168" s="30" t="inlineStr">
        <is>
          <t>2026-10-17</t>
        </is>
      </c>
    </row>
    <row r="169" ht="15" customHeight="1" s="17">
      <c r="A169" s="30" t="inlineStr">
        <is>
          <t>L-38</t>
        </is>
      </c>
      <c r="B169" s="30" t="inlineStr">
        <is>
          <t>Learning &amp; education</t>
        </is>
      </c>
      <c r="C169" s="30" t="inlineStr">
        <is>
          <t>Trader roadmap</t>
        </is>
      </c>
      <c r="D169" s="30" t="inlineStr">
        <is>
          <t>html/trader-roadmap.html</t>
        </is>
      </c>
      <c r="E169" s="30" t="inlineStr">
        <is>
          <t>Not planned</t>
        </is>
      </c>
      <c r="F169" s="30" t="inlineStr">
        <is>
          <t>P3</t>
        </is>
      </c>
      <c r="G169" s="30" t="inlineStr">
        <is>
          <t>M</t>
        </is>
      </c>
      <c r="H169" s="30" t="n"/>
      <c r="I169" s="30" t="inlineStr">
        <is>
          <t>learn/trader-roadmap</t>
        </is>
      </c>
      <c r="J169" s="30" t="inlineStr">
        <is>
          <t>Learn wave 2 (docs/agent-notes/learn2.md): a six-question quiz that picks one of five personas (one says to close all trading accounts), so not general advice; the page explains why there is no honest equivalent. Not verified on a device.</t>
        </is>
      </c>
      <c r="K169" s="30" t="inlineStr">
        <is>
          <t>2026-10-17</t>
        </is>
      </c>
    </row>
    <row r="170" ht="15" customHeight="1" s="17">
      <c r="A170" s="30" t="inlineStr">
        <is>
          <t>L-39</t>
        </is>
      </c>
      <c r="B170" s="30" t="inlineStr">
        <is>
          <t>Learning &amp; education</t>
        </is>
      </c>
      <c r="C170" s="30" t="inlineStr">
        <is>
          <t>Traditional roadmap</t>
        </is>
      </c>
      <c r="D170" s="30" t="inlineStr">
        <is>
          <t>html/traditional-roadmap.html</t>
        </is>
      </c>
      <c r="E170" s="30" t="inlineStr">
        <is>
          <t>Not planned</t>
        </is>
      </c>
      <c r="F170" s="30" t="inlineStr">
        <is>
          <t>P3</t>
        </is>
      </c>
      <c r="G170" s="30" t="inlineStr">
        <is>
          <t>M</t>
        </is>
      </c>
      <c r="H170" s="30" t="n"/>
      <c r="I170" s="30" t="inlineStr">
        <is>
          <t>learn/traditional-roadmap</t>
        </is>
      </c>
      <c r="J170" s="30" t="inlineStr">
        <is>
          <t>Learn wave 2 (docs/agent-notes/learn2.md): a two-question quiz whose step list has out-of-date tax and inflation statements; not copied, the page explains why. Not verified on a device.</t>
        </is>
      </c>
      <c r="K170" s="30" t="inlineStr">
        <is>
          <t>2026-10-17</t>
        </is>
      </c>
    </row>
    <row r="171" ht="15" customHeight="1" s="17">
      <c r="A171" s="30" t="inlineStr">
        <is>
          <t>L-40</t>
        </is>
      </c>
      <c r="B171" s="30" t="inlineStr">
        <is>
          <t>Learning &amp; education</t>
        </is>
      </c>
      <c r="C171" s="30" t="inlineStr">
        <is>
          <t>Simulator</t>
        </is>
      </c>
      <c r="D171" s="30" t="inlineStr">
        <is>
          <t>html/simulator.html</t>
        </is>
      </c>
      <c r="E171" s="30" t="inlineStr">
        <is>
          <t>Done</t>
        </is>
      </c>
      <c r="F171" s="30" t="inlineStr">
        <is>
          <t>P3</t>
        </is>
      </c>
      <c r="G171" s="30" t="inlineStr">
        <is>
          <t>M</t>
        </is>
      </c>
      <c r="H171" s="30" t="n"/>
      <c r="I171" s="30" t="inlineStr">
        <is>
          <t>learn/simulator</t>
        </is>
      </c>
      <c r="J171" s="30" t="inlineStr">
        <is>
          <t>Learn wave 2 (docs/agent-notes/learn2.md): the website page only redirects to the Simulator Hub; the phone page says so. Not verified on a device.</t>
        </is>
      </c>
      <c r="K171" s="30" t="inlineStr">
        <is>
          <t>2026-10-17</t>
        </is>
      </c>
    </row>
    <row r="172" ht="15" customHeight="1" s="17">
      <c r="A172" s="30" t="inlineStr">
        <is>
          <t>L-41</t>
        </is>
      </c>
      <c r="B172" s="30" t="inlineStr">
        <is>
          <t>Learning &amp; education</t>
        </is>
      </c>
      <c r="C172" s="30" t="inlineStr">
        <is>
          <t>Simulator guide</t>
        </is>
      </c>
      <c r="D172" s="30" t="inlineStr">
        <is>
          <t>html/simulator-guide.html</t>
        </is>
      </c>
      <c r="E172" s="30" t="inlineStr">
        <is>
          <t>Not planned</t>
        </is>
      </c>
      <c r="F172" s="30" t="inlineStr">
        <is>
          <t>P3</t>
        </is>
      </c>
      <c r="G172" s="30" t="inlineStr">
        <is>
          <t>M</t>
        </is>
      </c>
      <c r="H172" s="30" t="n"/>
      <c r="I172" s="30" t="inlineStr">
        <is>
          <t>learn/simulator-guide</t>
        </is>
      </c>
      <c r="J172" s="30" t="inlineStr">
        <is>
          <t>Website only: a manual for the trading simulator's UI; nothing on the phone to apply it to (excluded in the Learn manifest).</t>
        </is>
      </c>
      <c r="K172" s="30" t="inlineStr">
        <is>
          <t>2026-10-15</t>
        </is>
      </c>
    </row>
    <row r="173" ht="15" customHeight="1" s="17">
      <c r="A173" s="30" t="inlineStr">
        <is>
          <t>L-42</t>
        </is>
      </c>
      <c r="B173" s="30" t="inlineStr">
        <is>
          <t>Learning &amp; education</t>
        </is>
      </c>
      <c r="C173" s="30" t="inlineStr">
        <is>
          <t>Simulator landing</t>
        </is>
      </c>
      <c r="D173" s="30" t="inlineStr">
        <is>
          <t>html/simulator-landing.html</t>
        </is>
      </c>
      <c r="E173" s="30" t="inlineStr">
        <is>
          <t>Partial</t>
        </is>
      </c>
      <c r="F173" s="30" t="inlineStr">
        <is>
          <t>P3</t>
        </is>
      </c>
      <c r="G173" s="30" t="inlineStr">
        <is>
          <t>M</t>
        </is>
      </c>
      <c r="H173" s="30" t="n"/>
      <c r="I173" s="30" t="inlineStr">
        <is>
          <t>learn/simulator-landing</t>
        </is>
      </c>
      <c r="J173" s="30" t="inlineStr">
        <is>
          <t>Learn wave 2 (docs/agent-notes/learn2.md): a hub: menu of six simulator cards (the ticker strip uses fixed typed-in prices and is not shown); the simulators themselves are not on the phone. Not verified on a device.</t>
        </is>
      </c>
      <c r="K173" s="30" t="inlineStr">
        <is>
          <t>2026-10-17</t>
        </is>
      </c>
    </row>
    <row r="174" ht="15" customHeight="1" s="17">
      <c r="A174" s="30" t="inlineStr">
        <is>
          <t>L-43</t>
        </is>
      </c>
      <c r="B174" s="30" t="inlineStr">
        <is>
          <t>Learning &amp; education</t>
        </is>
      </c>
      <c r="C174" s="30" t="inlineStr">
        <is>
          <t>Trading simulator</t>
        </is>
      </c>
      <c r="D174" s="30" t="inlineStr">
        <is>
          <t>html/trading-simulator.html</t>
        </is>
      </c>
      <c r="E174" s="30" t="inlineStr">
        <is>
          <t>Not planned</t>
        </is>
      </c>
      <c r="F174" s="30" t="inlineStr">
        <is>
          <t>P3</t>
        </is>
      </c>
      <c r="G174" s="30" t="inlineStr">
        <is>
          <t>M</t>
        </is>
      </c>
      <c r="H174" s="30" t="n"/>
      <c r="I174" s="30" t="inlineStr">
        <is>
          <t>learn/trading-simulator</t>
        </is>
      </c>
      <c r="J174" s="30" t="inlineStr">
        <is>
          <t>Learn wave 2 (docs/agent-notes/learn2.md): website only: a practice-trading UI with generated candles. No trading features on the phone; the phone page says so. Not verified on a device.</t>
        </is>
      </c>
      <c r="K174" s="30" t="inlineStr">
        <is>
          <t>2026-10-17</t>
        </is>
      </c>
    </row>
    <row r="175" ht="15" customHeight="1" s="17">
      <c r="A175" s="30" t="inlineStr">
        <is>
          <t>L-44</t>
        </is>
      </c>
      <c r="B175" s="30" t="inlineStr">
        <is>
          <t>Learning &amp; education</t>
        </is>
      </c>
      <c r="C175" s="30" t="inlineStr">
        <is>
          <t>Trading coach</t>
        </is>
      </c>
      <c r="D175" s="30" t="inlineStr">
        <is>
          <t>html/trading-coach.html</t>
        </is>
      </c>
      <c r="E175" s="30" t="inlineStr">
        <is>
          <t>Not planned</t>
        </is>
      </c>
      <c r="F175" s="30" t="inlineStr">
        <is>
          <t>P3</t>
        </is>
      </c>
      <c r="G175" s="30" t="inlineStr">
        <is>
          <t>M</t>
        </is>
      </c>
      <c r="H175" s="30" t="n"/>
      <c r="I175" s="30" t="inlineStr">
        <is>
          <t>learn/trading-coach</t>
        </is>
      </c>
      <c r="J175" s="30" t="inlineStr">
        <is>
          <t>Learn wave 2 (docs/agent-notes/learn2.md): a 3-question clearance plus an AI assessment; trader-only and needs the website AI service. The page explains why. Not verified on a device.</t>
        </is>
      </c>
      <c r="K175" s="30" t="inlineStr">
        <is>
          <t>2026-10-17</t>
        </is>
      </c>
    </row>
    <row r="176" ht="15" customHeight="1" s="17">
      <c r="A176" s="30" t="inlineStr">
        <is>
          <t>L-45</t>
        </is>
      </c>
      <c r="B176" s="30" t="inlineStr">
        <is>
          <t>Learning &amp; education</t>
        </is>
      </c>
      <c r="C176" s="30" t="inlineStr">
        <is>
          <t>Trading brain</t>
        </is>
      </c>
      <c r="D176" s="30" t="inlineStr">
        <is>
          <t>html/trading-brain.html</t>
        </is>
      </c>
      <c r="E176" s="30" t="inlineStr">
        <is>
          <t>Not planned</t>
        </is>
      </c>
      <c r="F176" s="30" t="inlineStr">
        <is>
          <t>P3</t>
        </is>
      </c>
      <c r="G176" s="30" t="inlineStr">
        <is>
          <t>M</t>
        </is>
      </c>
      <c r="H176" s="30" t="n"/>
      <c r="I176" s="30" t="inlineStr">
        <is>
          <t>learn/trading-brain</t>
        </is>
      </c>
      <c r="J176" s="30" t="inlineStr">
        <is>
          <t>Learn wave 2 (docs/agent-notes/learn2.md): live signals from data services, and pattern tables quote win rates with no stated method; not copied. The page explains why. Not verified on a device.</t>
        </is>
      </c>
      <c r="K176" s="30" t="inlineStr">
        <is>
          <t>2026-10-17</t>
        </is>
      </c>
    </row>
    <row r="177" ht="15" customHeight="1" s="17">
      <c r="A177" s="30" t="inlineStr">
        <is>
          <t>L-46</t>
        </is>
      </c>
      <c r="B177" s="30" t="inlineStr">
        <is>
          <t>Learning &amp; education</t>
        </is>
      </c>
      <c r="C177" s="30" t="inlineStr">
        <is>
          <t>Know your finances</t>
        </is>
      </c>
      <c r="D177" s="30" t="inlineStr">
        <is>
          <t>html/know-your-finances.html</t>
        </is>
      </c>
      <c r="E177" s="30" t="inlineStr">
        <is>
          <t>Not planned</t>
        </is>
      </c>
      <c r="F177" s="30" t="inlineStr">
        <is>
          <t>P3</t>
        </is>
      </c>
      <c r="G177" s="30" t="inlineStr">
        <is>
          <t>M</t>
        </is>
      </c>
      <c r="H177" s="30" t="n"/>
      <c r="I177" s="30" t="inlineStr">
        <is>
          <t>learn/know-your-finances</t>
        </is>
      </c>
      <c r="J177" s="30" t="inlineStr">
        <is>
          <t>Learn wave 2 (docs/agent-notes/learn2.md): a long input form plus an AI scan; the page explains why and names the phone parts (Net worth, Money Score, Retirement planner). Not verified on a device.</t>
        </is>
      </c>
      <c r="K177" s="30" t="inlineStr">
        <is>
          <t>2026-10-17</t>
        </is>
      </c>
    </row>
    <row r="178" ht="15" customHeight="1" s="17">
      <c r="A178" s="30" t="inlineStr">
        <is>
          <t>L-47</t>
        </is>
      </c>
      <c r="B178" s="30" t="inlineStr">
        <is>
          <t>Learning &amp; education</t>
        </is>
      </c>
      <c r="C178" s="30" t="inlineStr">
        <is>
          <t>Financial being</t>
        </is>
      </c>
      <c r="D178" s="30" t="inlineStr">
        <is>
          <t>html/financial-being.html</t>
        </is>
      </c>
      <c r="E178" s="30" t="inlineStr">
        <is>
          <t>Not planned</t>
        </is>
      </c>
      <c r="F178" s="30" t="inlineStr">
        <is>
          <t>P3</t>
        </is>
      </c>
      <c r="G178" s="30" t="inlineStr">
        <is>
          <t>M</t>
        </is>
      </c>
      <c r="H178" s="30" t="n"/>
      <c r="I178" s="30" t="inlineStr">
        <is>
          <t>learn/financial-being</t>
        </is>
      </c>
      <c r="J178" s="30" t="inlineStr">
        <is>
          <t>Learn wave 2 (docs/agent-notes/learn2.md): a long self-assessment ending in an AI report; the page explains why and names Financial DNA as a different, shorter quiz. Not verified on a device.</t>
        </is>
      </c>
      <c r="K178" s="30" t="inlineStr">
        <is>
          <t>2026-10-17</t>
        </is>
      </c>
    </row>
    <row r="179" ht="15" customHeight="1" s="17">
      <c r="A179" s="30" t="inlineStr">
        <is>
          <t>L-48</t>
        </is>
      </c>
      <c r="B179" s="30" t="inlineStr">
        <is>
          <t>Learning &amp; education</t>
        </is>
      </c>
      <c r="C179" s="30" t="inlineStr">
        <is>
          <t>Diagnostics</t>
        </is>
      </c>
      <c r="D179" s="30" t="inlineStr">
        <is>
          <t>html/diagnostics.html</t>
        </is>
      </c>
      <c r="E179" s="30" t="inlineStr">
        <is>
          <t>Partial</t>
        </is>
      </c>
      <c r="F179" s="30" t="inlineStr">
        <is>
          <t>P3</t>
        </is>
      </c>
      <c r="G179" s="30" t="inlineStr">
        <is>
          <t>M</t>
        </is>
      </c>
      <c r="H179" s="30" t="n"/>
      <c r="I179" s="30" t="inlineStr">
        <is>
          <t>learn/diagnostics</t>
        </is>
      </c>
      <c r="J179" s="30" t="inlineStr">
        <is>
          <t>Learn wave 2 (docs/agent-notes/learn2.md): a hub: menu of two scans and four tools; the phone has Financial DNA, Benchmarks and Future loss (not the phone's crash-notes Diagnostics screen). Not verified on a device.</t>
        </is>
      </c>
      <c r="K179" s="30" t="inlineStr">
        <is>
          <t>2026-10-17</t>
        </is>
      </c>
    </row>
    <row r="180" ht="15" customHeight="1" s="17">
      <c r="A180" s="30" t="inlineStr">
        <is>
          <t>L-49</t>
        </is>
      </c>
      <c r="B180" s="30" t="inlineStr">
        <is>
          <t>Learning &amp; education</t>
        </is>
      </c>
      <c r="C180" s="30" t="inlineStr">
        <is>
          <t>Life wealth</t>
        </is>
      </c>
      <c r="D180" s="30" t="inlineStr">
        <is>
          <t>html/life-wealth.html</t>
        </is>
      </c>
      <c r="E180" s="30" t="inlineStr">
        <is>
          <t>Done</t>
        </is>
      </c>
      <c r="F180" s="30" t="inlineStr">
        <is>
          <t>P3</t>
        </is>
      </c>
      <c r="G180" s="30" t="inlineStr">
        <is>
          <t>M</t>
        </is>
      </c>
      <c r="H180" s="30" t="n"/>
      <c r="I180" s="30" t="inlineStr">
        <is>
          <t>learn/life-wealth</t>
        </is>
      </c>
      <c r="J180" s="30" t="inlineStr">
        <is>
          <t>Learn wave 2 (docs/agent-notes/learn2.md): lesson text (milestones and money-vs-soul pairs from the page and its script), source lines on every passage. Not verified on a device.</t>
        </is>
      </c>
      <c r="K180" s="30" t="inlineStr">
        <is>
          <t>2026-10-17</t>
        </is>
      </c>
    </row>
    <row r="181" ht="15" customHeight="1" s="17">
      <c r="A181" s="30" t="inlineStr">
        <is>
          <t>L-50</t>
        </is>
      </c>
      <c r="B181" s="30" t="inlineStr">
        <is>
          <t>Learning &amp; education</t>
        </is>
      </c>
      <c r="C181" s="30" t="inlineStr">
        <is>
          <t>Impact</t>
        </is>
      </c>
      <c r="D181" s="30" t="inlineStr">
        <is>
          <t>html/impact.html</t>
        </is>
      </c>
      <c r="E181" s="30" t="inlineStr">
        <is>
          <t>Partial</t>
        </is>
      </c>
      <c r="F181" s="30" t="inlineStr">
        <is>
          <t>P3</t>
        </is>
      </c>
      <c r="G181" s="30" t="inlineStr">
        <is>
          <t>M</t>
        </is>
      </c>
      <c r="H181" s="30" t="n"/>
      <c r="I181" s="30" t="inlineStr">
        <is>
          <t>learn/impact</t>
        </is>
      </c>
      <c r="J181" s="30" t="inlineStr">
        <is>
          <t>Learn wave 2 (docs/agent-notes/learn2.md): a hub: the compound box (= the SIP calculator on the phone) and eight story cards (= Impact stories, L-51). Not verified on a device.</t>
        </is>
      </c>
      <c r="K181" s="30" t="inlineStr">
        <is>
          <t>2026-10-17</t>
        </is>
      </c>
    </row>
    <row r="182" ht="15" customHeight="1" s="17">
      <c r="A182" s="30" t="inlineStr">
        <is>
          <t>L-51</t>
        </is>
      </c>
      <c r="B182" s="30" t="inlineStr">
        <is>
          <t>Learning &amp; education</t>
        </is>
      </c>
      <c r="C182" s="30" t="inlineStr">
        <is>
          <t>Impact detail</t>
        </is>
      </c>
      <c r="D182" s="30" t="inlineStr">
        <is>
          <t>html/impact-detail.html</t>
        </is>
      </c>
      <c r="E182" s="30" t="inlineStr">
        <is>
          <t>Done</t>
        </is>
      </c>
      <c r="F182" s="30" t="inlineStr">
        <is>
          <t>P3</t>
        </is>
      </c>
      <c r="G182" s="30" t="inlineStr">
        <is>
          <t>M</t>
        </is>
      </c>
      <c r="H182" s="30" t="n"/>
      <c r="I182" s="30" t="inlineStr">
        <is>
          <t>learn/impact-detail</t>
        </is>
      </c>
      <c r="J182" s="30" t="inlineStr">
        <is>
          <t>Learn wave 2 (docs/agent-notes/learn2.md): the eight five-step stories from js/impact-detail.js, with source lines; two stated figures are wrong on the website and are flagged in the lesson. Not verified on a device.</t>
        </is>
      </c>
      <c r="K182" s="30" t="inlineStr">
        <is>
          <t>2026-10-17</t>
        </is>
      </c>
    </row>
    <row r="183" ht="15" customHeight="1" s="17">
      <c r="A183" s="30" t="inlineStr">
        <is>
          <t>M-01</t>
        </is>
      </c>
      <c r="B183" s="30" t="inlineStr">
        <is>
          <t>Markets &amp; research</t>
        </is>
      </c>
      <c r="C183" s="30" t="inlineStr">
        <is>
          <t>Markets: indices (NIFTY 50, SENSEX, IT, BANK)</t>
        </is>
      </c>
      <c r="D183" s="30" t="inlineStr">
        <is>
          <t>html/markets.html</t>
        </is>
      </c>
      <c r="E183" s="30" t="inlineStr">
        <is>
          <t>Done</t>
        </is>
      </c>
      <c r="F183" s="30" t="inlineStr">
        <is>
          <t>P1</t>
        </is>
      </c>
      <c r="G183" s="30" t="inlineStr">
        <is>
          <t>S</t>
        </is>
      </c>
      <c r="H183" s="30" t="n"/>
      <c r="I183" s="30" t="inlineStr">
        <is>
          <t>(tabs)/markets</t>
        </is>
      </c>
      <c r="J183" s="30" t="inlineStr">
        <is>
          <t>Live from the Arya backend; no invented prices offline</t>
        </is>
      </c>
      <c r="K183" s="30" t="inlineStr">
        <is>
          <t>2026-10-12</t>
        </is>
      </c>
    </row>
    <row r="184" ht="15" customHeight="1" s="17">
      <c r="A184" s="30" t="inlineStr">
        <is>
          <t>M-02</t>
        </is>
      </c>
      <c r="B184" s="30" t="inlineStr">
        <is>
          <t>Markets &amp; research</t>
        </is>
      </c>
      <c r="C184" s="30" t="inlineStr">
        <is>
          <t>Markets: sector indices (8 sectors)</t>
        </is>
      </c>
      <c r="D184" s="30" t="inlineStr">
        <is>
          <t>html/markets.html</t>
        </is>
      </c>
      <c r="E184" s="30" t="inlineStr">
        <is>
          <t>Done</t>
        </is>
      </c>
      <c r="F184" s="30" t="inlineStr">
        <is>
          <t>P1</t>
        </is>
      </c>
      <c r="G184" s="30" t="inlineStr">
        <is>
          <t>S</t>
        </is>
      </c>
      <c r="H184" s="30" t="n"/>
      <c r="I184" s="30" t="inlineStr">
        <is>
          <t>(tabs)/markets</t>
        </is>
      </c>
      <c r="J184" s="30" t="inlineStr">
        <is>
          <t>New /api/market/sectors route (needs a backend restart)</t>
        </is>
      </c>
      <c r="K184" s="30" t="inlineStr">
        <is>
          <t>2026-10-12</t>
        </is>
      </c>
    </row>
    <row r="185" ht="15" customHeight="1" s="17">
      <c r="A185" s="30" t="inlineStr">
        <is>
          <t>M-03</t>
        </is>
      </c>
      <c r="B185" s="30" t="inlineStr">
        <is>
          <t>Markets &amp; research</t>
        </is>
      </c>
      <c r="C185" s="30" t="inlineStr">
        <is>
          <t>Markets: FII / DII flows</t>
        </is>
      </c>
      <c r="D185" s="30" t="inlineStr">
        <is>
          <t>html/markets.html</t>
        </is>
      </c>
      <c r="E185" s="30" t="inlineStr">
        <is>
          <t>Blocked</t>
        </is>
      </c>
      <c r="F185" s="30" t="inlineStr">
        <is>
          <t>P3</t>
        </is>
      </c>
      <c r="G185" s="30" t="inlineStr">
        <is>
          <t>S</t>
        </is>
      </c>
      <c r="H185" s="30" t="n"/>
      <c r="I185" s="30" t="n"/>
      <c r="J185" s="30" t="inlineStr">
        <is>
          <t>No data source; the earlier hard-coded numbers were removed</t>
        </is>
      </c>
      <c r="K185" s="30" t="inlineStr">
        <is>
          <t>2026-10-12</t>
        </is>
      </c>
    </row>
    <row r="186" ht="15" customHeight="1" s="17">
      <c r="A186" s="30" t="inlineStr">
        <is>
          <t>M-04</t>
        </is>
      </c>
      <c r="B186" s="30" t="inlineStr">
        <is>
          <t>Markets &amp; research</t>
        </is>
      </c>
      <c r="C186" s="30" t="inlineStr">
        <is>
          <t>Equity detail</t>
        </is>
      </c>
      <c r="D186" s="30" t="inlineStr">
        <is>
          <t>html/equitydetail.html</t>
        </is>
      </c>
      <c r="E186" s="30" t="inlineStr">
        <is>
          <t>Done</t>
        </is>
      </c>
      <c r="F186" s="30" t="inlineStr">
        <is>
          <t>P3</t>
        </is>
      </c>
      <c r="G186" s="30" t="inlineStr">
        <is>
          <t>M</t>
        </is>
      </c>
      <c r="H186" s="30" t="n"/>
      <c r="I186" s="30" t="inlineStr">
        <is>
          <t>markets/equitydetail</t>
        </is>
      </c>
      <c r="J186" s="30" t="inlineStr">
        <is>
          <t>app/market/stock/[symbol].tsx: live quote, day and 52-week range, 1M/3M/6M/1Y chart, labelled fundamentals, add to watchlist. The website's masterclass text is editorial and not ported.</t>
        </is>
      </c>
      <c r="K186" s="30" t="inlineStr">
        <is>
          <t>2026-10-15</t>
        </is>
      </c>
    </row>
    <row r="187" ht="15" customHeight="1" s="17">
      <c r="A187" s="30" t="inlineStr">
        <is>
          <t>M-05</t>
        </is>
      </c>
      <c r="B187" s="30" t="inlineStr">
        <is>
          <t>Markets &amp; research</t>
        </is>
      </c>
      <c r="C187" s="30" t="inlineStr">
        <is>
          <t>ETF detail</t>
        </is>
      </c>
      <c r="D187" s="30" t="inlineStr">
        <is>
          <t>html/etfdetail.html</t>
        </is>
      </c>
      <c r="E187" s="30" t="inlineStr">
        <is>
          <t>Partial</t>
        </is>
      </c>
      <c r="F187" s="30" t="inlineStr">
        <is>
          <t>P3</t>
        </is>
      </c>
      <c r="G187" s="30" t="inlineStr">
        <is>
          <t>M</t>
        </is>
      </c>
      <c r="H187" s="30" t="n"/>
      <c r="I187" s="30" t="inlineStr">
        <is>
          <t>markets/etfdetail</t>
        </is>
      </c>
      <c r="J187" s="30" t="inlineStr">
        <is>
          <t>An ETF opens the same share screen. Expense ratio and tracking error are not in any source the backend has.</t>
        </is>
      </c>
      <c r="K187" s="30" t="inlineStr">
        <is>
          <t>2026-10-15</t>
        </is>
      </c>
    </row>
    <row r="188" ht="15" customHeight="1" s="17">
      <c r="A188" s="30" t="inlineStr">
        <is>
          <t>M-06</t>
        </is>
      </c>
      <c r="B188" s="30" t="inlineStr">
        <is>
          <t>Markets &amp; research</t>
        </is>
      </c>
      <c r="C188" s="30" t="inlineStr">
        <is>
          <t>Mutual fund detail</t>
        </is>
      </c>
      <c r="D188" s="30" t="inlineStr">
        <is>
          <t>html/mfdetail.html</t>
        </is>
      </c>
      <c r="E188" s="30" t="inlineStr">
        <is>
          <t>Done</t>
        </is>
      </c>
      <c r="F188" s="30" t="inlineStr">
        <is>
          <t>P3</t>
        </is>
      </c>
      <c r="G188" s="30" t="inlineStr">
        <is>
          <t>M</t>
        </is>
      </c>
      <c r="H188" s="30" t="n"/>
      <c r="I188" s="30" t="inlineStr">
        <is>
          <t>markets/mfdetail</t>
        </is>
      </c>
      <c r="J188" s="30" t="inlineStr">
        <is>
          <t>app/market/fund/[code].tsx: NAV, plan and option, NAV history chart, computed point-to-point returns (flagged as not factsheet figures; IDCW understated).</t>
        </is>
      </c>
      <c r="K188" s="30" t="inlineStr">
        <is>
          <t>2026-10-15</t>
        </is>
      </c>
    </row>
    <row r="189" ht="15" customHeight="1" s="17">
      <c r="A189" s="30" t="inlineStr">
        <is>
          <t>M-07</t>
        </is>
      </c>
      <c r="B189" s="30" t="inlineStr">
        <is>
          <t>Markets &amp; research</t>
        </is>
      </c>
      <c r="C189" s="30" t="inlineStr">
        <is>
          <t>Crypto detail</t>
        </is>
      </c>
      <c r="D189" s="30" t="inlineStr">
        <is>
          <t>html/cryptodetail.html</t>
        </is>
      </c>
      <c r="E189" s="30" t="inlineStr">
        <is>
          <t>Done</t>
        </is>
      </c>
      <c r="F189" s="30" t="inlineStr">
        <is>
          <t>P3</t>
        </is>
      </c>
      <c r="G189" s="30" t="inlineStr">
        <is>
          <t>M</t>
        </is>
      </c>
      <c r="H189" s="30" t="n"/>
      <c r="I189" s="30" t="inlineStr">
        <is>
          <t>market/crypto/[id]</t>
        </is>
      </c>
      <c r="J189" s="30" t="inlineStr">
        <is>
          <t>portfolio-analytics.md: detail with price history. Polygon has no history source (shows today's price and says why). Chart steps on sub-5 prices (backend rounding, U14). Web preview only. Not verified on a device.</t>
        </is>
      </c>
      <c r="K189" s="30" t="inlineStr">
        <is>
          <t>2026-10-17</t>
        </is>
      </c>
    </row>
    <row r="190" ht="15" customHeight="1" s="17">
      <c r="A190" s="30" t="inlineStr">
        <is>
          <t>M-08</t>
        </is>
      </c>
      <c r="B190" s="30" t="inlineStr">
        <is>
          <t>Markets &amp; research</t>
        </is>
      </c>
      <c r="C190" s="30" t="inlineStr">
        <is>
          <t>Commodity detail</t>
        </is>
      </c>
      <c r="D190" s="30" t="inlineStr">
        <is>
          <t>html/commoditydetail.html</t>
        </is>
      </c>
      <c r="E190" s="30" t="inlineStr">
        <is>
          <t>Done</t>
        </is>
      </c>
      <c r="F190" s="30" t="inlineStr">
        <is>
          <t>P3</t>
        </is>
      </c>
      <c r="G190" s="30" t="inlineStr">
        <is>
          <t>M</t>
        </is>
      </c>
      <c r="H190" s="30" t="n"/>
      <c r="I190" s="30" t="inlineStr">
        <is>
          <t>market/commodity/[key]</t>
        </is>
      </c>
      <c r="J190" s="30" t="inlineStr">
        <is>
          <t>portfolio-analytics.md: gold, silver, crude, natural gas with history; chart is world futures in USD (the rupee card stays labelled as converted, not MCX); futures roll jumps appear. Not verified on a device.</t>
        </is>
      </c>
      <c r="K190" s="30" t="inlineStr">
        <is>
          <t>2026-10-17</t>
        </is>
      </c>
    </row>
    <row r="191" ht="15" customHeight="1" s="17">
      <c r="A191" s="30" t="inlineStr">
        <is>
          <t>M-09</t>
        </is>
      </c>
      <c r="B191" s="30" t="inlineStr">
        <is>
          <t>Markets &amp; research</t>
        </is>
      </c>
      <c r="C191" s="30" t="inlineStr">
        <is>
          <t>Forex detail</t>
        </is>
      </c>
      <c r="D191" s="30" t="inlineStr">
        <is>
          <t>html/forexdetail.html</t>
        </is>
      </c>
      <c r="E191" s="30" t="inlineStr">
        <is>
          <t>Done</t>
        </is>
      </c>
      <c r="F191" s="30" t="inlineStr">
        <is>
          <t>P3</t>
        </is>
      </c>
      <c r="G191" s="30" t="inlineStr">
        <is>
          <t>M</t>
        </is>
      </c>
      <c r="H191" s="30" t="n"/>
      <c r="I191" s="30" t="inlineStr">
        <is>
          <t>market/fx/[pair]</t>
        </is>
      </c>
      <c r="J191" s="30" t="inlineStr">
        <is>
          <t>portfolio-analytics.md: USD/EUR/GBP/JPY/AED to INR with history and a two-way converter at the market rate; JPY chart is stepped (backend rounding). Not verified on a device.</t>
        </is>
      </c>
      <c r="K191" s="30" t="inlineStr">
        <is>
          <t>2026-10-17</t>
        </is>
      </c>
    </row>
    <row r="192" ht="15" customHeight="1" s="17">
      <c r="A192" s="30" t="inlineStr">
        <is>
          <t>M-10</t>
        </is>
      </c>
      <c r="B192" s="30" t="inlineStr">
        <is>
          <t>Markets &amp; research</t>
        </is>
      </c>
      <c r="C192" s="30" t="inlineStr">
        <is>
          <t>F&amp;O detail</t>
        </is>
      </c>
      <c r="D192" s="30" t="inlineStr">
        <is>
          <t>html/fnodetail.html</t>
        </is>
      </c>
      <c r="E192" s="30" t="inlineStr">
        <is>
          <t>Pending</t>
        </is>
      </c>
      <c r="F192" s="30" t="inlineStr">
        <is>
          <t>P3</t>
        </is>
      </c>
      <c r="G192" s="30" t="inlineStr">
        <is>
          <t>M</t>
        </is>
      </c>
      <c r="H192" s="30" t="n"/>
      <c r="I192" s="30" t="inlineStr">
        <is>
          <t>markets/fnodetail</t>
        </is>
      </c>
      <c r="J192" s="30" t="n"/>
      <c r="K192" s="30" t="inlineStr">
        <is>
          <t>2026-10-12</t>
        </is>
      </c>
    </row>
    <row r="193" ht="15" customHeight="1" s="17">
      <c r="A193" s="30" t="inlineStr">
        <is>
          <t>M-11</t>
        </is>
      </c>
      <c r="B193" s="30" t="inlineStr">
        <is>
          <t>Markets &amp; research</t>
        </is>
      </c>
      <c r="C193" s="30" t="inlineStr">
        <is>
          <t>Debt detail</t>
        </is>
      </c>
      <c r="D193" s="30" t="inlineStr">
        <is>
          <t>html/debtdetail.html</t>
        </is>
      </c>
      <c r="E193" s="30" t="inlineStr">
        <is>
          <t>Pending</t>
        </is>
      </c>
      <c r="F193" s="30" t="inlineStr">
        <is>
          <t>P3</t>
        </is>
      </c>
      <c r="G193" s="30" t="inlineStr">
        <is>
          <t>M</t>
        </is>
      </c>
      <c r="H193" s="30" t="n"/>
      <c r="I193" s="30" t="inlineStr">
        <is>
          <t>markets/debtdetail</t>
        </is>
      </c>
      <c r="J193" s="30" t="n"/>
      <c r="K193" s="30" t="inlineStr">
        <is>
          <t>2026-10-12</t>
        </is>
      </c>
    </row>
    <row r="194" ht="15" customHeight="1" s="17">
      <c r="A194" s="30" t="inlineStr">
        <is>
          <t>M-12</t>
        </is>
      </c>
      <c r="B194" s="30" t="inlineStr">
        <is>
          <t>Markets &amp; research</t>
        </is>
      </c>
      <c r="C194" s="30" t="inlineStr">
        <is>
          <t>Money market detail</t>
        </is>
      </c>
      <c r="D194" s="30" t="inlineStr">
        <is>
          <t>html/moneydetail.html</t>
        </is>
      </c>
      <c r="E194" s="30" t="inlineStr">
        <is>
          <t>Pending</t>
        </is>
      </c>
      <c r="F194" s="30" t="inlineStr">
        <is>
          <t>P3</t>
        </is>
      </c>
      <c r="G194" s="30" t="inlineStr">
        <is>
          <t>M</t>
        </is>
      </c>
      <c r="H194" s="30" t="n"/>
      <c r="I194" s="30" t="inlineStr">
        <is>
          <t>markets/moneydetail</t>
        </is>
      </c>
      <c r="J194" s="30" t="n"/>
      <c r="K194" s="30" t="inlineStr">
        <is>
          <t>2026-10-12</t>
        </is>
      </c>
    </row>
    <row r="195" ht="15" customHeight="1" s="17">
      <c r="A195" s="30" t="inlineStr">
        <is>
          <t>M-13</t>
        </is>
      </c>
      <c r="B195" s="30" t="inlineStr">
        <is>
          <t>Markets &amp; research</t>
        </is>
      </c>
      <c r="C195" s="30" t="inlineStr">
        <is>
          <t>Market intelligence</t>
        </is>
      </c>
      <c r="D195" s="30" t="inlineStr">
        <is>
          <t>html/market-intel.html</t>
        </is>
      </c>
      <c r="E195" s="30" t="inlineStr">
        <is>
          <t>Pending</t>
        </is>
      </c>
      <c r="F195" s="30" t="inlineStr">
        <is>
          <t>P3</t>
        </is>
      </c>
      <c r="G195" s="30" t="inlineStr">
        <is>
          <t>M</t>
        </is>
      </c>
      <c r="H195" s="30" t="n"/>
      <c r="I195" s="30" t="inlineStr">
        <is>
          <t>markets/market-intel</t>
        </is>
      </c>
      <c r="J195" s="30" t="n"/>
      <c r="K195" s="30" t="inlineStr">
        <is>
          <t>2026-10-12</t>
        </is>
      </c>
    </row>
    <row r="196" ht="15" customHeight="1" s="17">
      <c r="A196" s="30" t="inlineStr">
        <is>
          <t>M-14</t>
        </is>
      </c>
      <c r="B196" s="30" t="inlineStr">
        <is>
          <t>Markets &amp; research</t>
        </is>
      </c>
      <c r="C196" s="30" t="inlineStr">
        <is>
          <t>Market visualizer</t>
        </is>
      </c>
      <c r="D196" s="30" t="inlineStr">
        <is>
          <t>html/market-visualizer.html</t>
        </is>
      </c>
      <c r="E196" s="30" t="inlineStr">
        <is>
          <t>Partial</t>
        </is>
      </c>
      <c r="F196" s="30" t="inlineStr">
        <is>
          <t>P3</t>
        </is>
      </c>
      <c r="G196" s="30" t="inlineStr">
        <is>
          <t>M</t>
        </is>
      </c>
      <c r="H196" s="30" t="n"/>
      <c r="I196" s="30" t="inlineStr">
        <is>
          <t>market/map</t>
        </is>
      </c>
      <c r="J196" s="30" t="inlineStr">
        <is>
          <t>portfolio-analytics.md: the website deep-dive needs a port-5000 service and scrapes metrics with invented defaults, so it is not ported. Built a different honest visual: Market map (index and sector tiles, 50 large companies by size, coloured by day move). Not verified on a device.</t>
        </is>
      </c>
      <c r="K196" s="30" t="inlineStr">
        <is>
          <t>2026-10-17</t>
        </is>
      </c>
    </row>
    <row r="197" ht="15" customHeight="1" s="17">
      <c r="A197" s="30" t="inlineStr">
        <is>
          <t>M-15</t>
        </is>
      </c>
      <c r="B197" s="30" t="inlineStr">
        <is>
          <t>Markets &amp; research</t>
        </is>
      </c>
      <c r="C197" s="30" t="inlineStr">
        <is>
          <t>Stock platform / screener</t>
        </is>
      </c>
      <c r="D197" s="30" t="inlineStr">
        <is>
          <t>html/stock-platform.html</t>
        </is>
      </c>
      <c r="E197" s="30" t="inlineStr">
        <is>
          <t>Partial</t>
        </is>
      </c>
      <c r="F197" s="30" t="inlineStr">
        <is>
          <t>P2</t>
        </is>
      </c>
      <c r="G197" s="30" t="inlineStr">
        <is>
          <t>M</t>
        </is>
      </c>
      <c r="H197" s="30" t="n"/>
      <c r="I197" s="30" t="inlineStr">
        <is>
          <t>markets/stock-platform</t>
        </is>
      </c>
      <c r="J197" s="30" t="inlineStr">
        <is>
          <t>Price-only screener over a 50-name list (day move, distance from 52-week high/low). The list is Nifty 50 membership as of late 2025 and was not checked against NSE. No fundamentals screen: needs the stock-engine service.</t>
        </is>
      </c>
      <c r="K197" s="30" t="inlineStr">
        <is>
          <t>2026-10-15</t>
        </is>
      </c>
    </row>
    <row r="198" ht="15" customHeight="1" s="17">
      <c r="A198" s="30" t="inlineStr">
        <is>
          <t>M-16</t>
        </is>
      </c>
      <c r="B198" s="30" t="inlineStr">
        <is>
          <t>Markets &amp; research</t>
        </is>
      </c>
      <c r="C198" s="30" t="inlineStr">
        <is>
          <t>Options intelligence</t>
        </is>
      </c>
      <c r="D198" s="30" t="inlineStr">
        <is>
          <t>html/options-intelligence.html</t>
        </is>
      </c>
      <c r="E198" s="30" t="inlineStr">
        <is>
          <t>Partial</t>
        </is>
      </c>
      <c r="F198" s="30" t="inlineStr">
        <is>
          <t>P3</t>
        </is>
      </c>
      <c r="G198" s="30" t="inlineStr">
        <is>
          <t>M</t>
        </is>
      </c>
      <c r="H198" s="30" t="n"/>
      <c r="I198" s="30" t="inlineStr">
        <is>
          <t>market/options</t>
        </is>
      </c>
      <c r="J198" s="30" t="inlineStr">
        <is>
          <t>portfolio-analytics.md: Black-Scholes price and Greeks (parity-tested against the page's functions), expiry payoff for six strategies from typed strikes and premiums; Nifty spot and India VIX shown for reference. No option chain or IV rank: the page's are random numbers. Not verified on a device.</t>
        </is>
      </c>
      <c r="K198" s="30" t="inlineStr">
        <is>
          <t>2026-10-17</t>
        </is>
      </c>
    </row>
    <row r="199" ht="15" customHeight="1" s="17">
      <c r="A199" s="30" t="inlineStr">
        <is>
          <t>M-17</t>
        </is>
      </c>
      <c r="B199" s="30" t="inlineStr">
        <is>
          <t>Markets &amp; research</t>
        </is>
      </c>
      <c r="C199" s="30" t="inlineStr">
        <is>
          <t>QuantEdge</t>
        </is>
      </c>
      <c r="D199" s="30" t="inlineStr">
        <is>
          <t>html/quantedge.html</t>
        </is>
      </c>
      <c r="E199" s="30" t="inlineStr">
        <is>
          <t>Not planned</t>
        </is>
      </c>
      <c r="F199" s="30" t="inlineStr">
        <is>
          <t>P3</t>
        </is>
      </c>
      <c r="G199" s="30" t="inlineStr">
        <is>
          <t>M</t>
        </is>
      </c>
      <c r="H199" s="30" t="n"/>
      <c r="I199" s="30" t="inlineStr">
        <is>
          <t>markets/quantedge</t>
        </is>
      </c>
      <c r="J199" s="30" t="inlineStr">
        <is>
          <t>portfolio-analytics.md: the page is hard-coded (72% "edge", fixed radar values) with no model or data behind it. Not built, deliberately. Not verified on a device.</t>
        </is>
      </c>
      <c r="K199" s="30" t="inlineStr">
        <is>
          <t>2026-10-17</t>
        </is>
      </c>
    </row>
    <row r="200" ht="15" customHeight="1" s="17">
      <c r="A200" s="30" t="inlineStr">
        <is>
          <t>M-18</t>
        </is>
      </c>
      <c r="B200" s="30" t="inlineStr">
        <is>
          <t>Markets &amp; research</t>
        </is>
      </c>
      <c r="C200" s="30" t="inlineStr">
        <is>
          <t>Hedge fund view</t>
        </is>
      </c>
      <c r="D200" s="30" t="inlineStr">
        <is>
          <t>html/hedgefund.html</t>
        </is>
      </c>
      <c r="E200" s="30" t="inlineStr">
        <is>
          <t>Partial</t>
        </is>
      </c>
      <c r="F200" s="30" t="inlineStr">
        <is>
          <t>P3</t>
        </is>
      </c>
      <c r="G200" s="30" t="inlineStr">
        <is>
          <t>M</t>
        </is>
      </c>
      <c r="H200" s="30" t="n"/>
      <c r="I200" s="30" t="inlineStr">
        <is>
          <t>portfolio/risk</t>
        </is>
      </c>
      <c r="J200" s="30" t="inlineStr">
        <is>
          <t>portfolio-analytics.md: portfolio risk metrics from real history (volatility, worst fall, Calmar, Ulcer, Sharpe, Sortino, beta, tracking error, IR) plus the page's calculators on your own numbers. The page's invented "trading DNA", override cost and BLOCK/TRADE verdicts are not ported. Not verified on a device.</t>
        </is>
      </c>
      <c r="K200" s="30" t="inlineStr">
        <is>
          <t>2026-10-17</t>
        </is>
      </c>
    </row>
    <row r="201" ht="15" customHeight="1" s="17">
      <c r="A201" s="30" t="inlineStr">
        <is>
          <t>M-19</t>
        </is>
      </c>
      <c r="B201" s="30" t="inlineStr">
        <is>
          <t>Markets &amp; research</t>
        </is>
      </c>
      <c r="C201" s="30" t="inlineStr">
        <is>
          <t>News feed + sentiment</t>
        </is>
      </c>
      <c r="D201" s="30" t="inlineStr">
        <is>
          <t>html/news.html</t>
        </is>
      </c>
      <c r="E201" s="30" t="inlineStr">
        <is>
          <t>Done</t>
        </is>
      </c>
      <c r="F201" s="30" t="inlineStr">
        <is>
          <t>P2</t>
        </is>
      </c>
      <c r="G201" s="30" t="inlineStr">
        <is>
          <t>M</t>
        </is>
      </c>
      <c r="H201" s="30" t="n"/>
      <c r="I201" s="30" t="inlineStr">
        <is>
          <t>markets/news</t>
        </is>
      </c>
      <c r="J201" s="30" t="inlineStr">
        <is>
          <t>app/market/news.tsx: headlines with source and time, stated keyword-sentiment, tag filter, "x of y sources answered", last saved answer when offline. Moneycontrol and Business Standard feeds returned 403 to the backend when checked.</t>
        </is>
      </c>
      <c r="K201" s="30" t="inlineStr">
        <is>
          <t>2026-10-15</t>
        </is>
      </c>
    </row>
    <row r="202" ht="15" customHeight="1" s="17">
      <c r="A202" s="30" t="inlineStr">
        <is>
          <t>M-20</t>
        </is>
      </c>
      <c r="B202" s="30" t="inlineStr">
        <is>
          <t>Markets &amp; research</t>
        </is>
      </c>
      <c r="C202" s="30" t="inlineStr">
        <is>
          <t>CA advisor</t>
        </is>
      </c>
      <c r="D202" s="30" t="inlineStr">
        <is>
          <t>html/ca-advisor.html</t>
        </is>
      </c>
      <c r="E202" s="30" t="inlineStr">
        <is>
          <t>Not planned</t>
        </is>
      </c>
      <c r="F202" s="30" t="inlineStr">
        <is>
          <t>P3</t>
        </is>
      </c>
      <c r="G202" s="30" t="inlineStr">
        <is>
          <t>M</t>
        </is>
      </c>
      <c r="H202" s="30" t="n"/>
      <c r="I202" s="30" t="inlineStr">
        <is>
          <t>markets/ca-advisor</t>
        </is>
      </c>
      <c r="J202" s="30" t="inlineStr">
        <is>
          <t>portfolio-analytics.md: the page is a mock-up (random access codes, a pre-filled fake advisor, buttons that do nothing); real sharing would need a server-side sharing and permissions service that does not exist. The real part (tax dossier) is the phone's Report / ITR tools. Not verified on a device.</t>
        </is>
      </c>
      <c r="K202" s="30" t="inlineStr">
        <is>
          <t>2026-10-17</t>
        </is>
      </c>
    </row>
    <row r="203" ht="15" customHeight="1" s="17">
      <c r="A203" s="30" t="inlineStr">
        <is>
          <t>M-21</t>
        </is>
      </c>
      <c r="B203" s="30" t="inlineStr">
        <is>
          <t>Markets &amp; research</t>
        </is>
      </c>
      <c r="C203" s="30" t="inlineStr">
        <is>
          <t>Insurance directory</t>
        </is>
      </c>
      <c r="D203" s="30" t="inlineStr">
        <is>
          <t>html/insurance-directory.html</t>
        </is>
      </c>
      <c r="E203" s="30" t="inlineStr">
        <is>
          <t>Done</t>
        </is>
      </c>
      <c r="F203" s="30" t="inlineStr">
        <is>
          <t>P3</t>
        </is>
      </c>
      <c r="G203" s="30" t="inlineStr">
        <is>
          <t>M</t>
        </is>
      </c>
      <c r="H203" s="30" t="n"/>
      <c r="I203" s="30" t="inlineStr">
        <is>
          <t>markets/insurance-directory</t>
        </is>
      </c>
      <c r="J203" s="30" t="inlineStr">
        <is>
          <t>Same hub: the website's insurance directory is a directory of cover types, which is what is shown. A directory of insurers does not exist on the website and was not invented.</t>
        </is>
      </c>
      <c r="K203" s="30" t="inlineStr">
        <is>
          <t>2026-10-15</t>
        </is>
      </c>
    </row>
    <row r="204" ht="15" customHeight="1" s="17">
      <c r="A204" s="30" t="inlineStr">
        <is>
          <t>S-01</t>
        </is>
      </c>
      <c r="B204" s="30" t="inlineStr">
        <is>
          <t>Portfolio &amp; standalone apps</t>
        </is>
      </c>
      <c r="C204" s="30" t="inlineStr">
        <is>
          <t>Portfolio: holdings list, live prices, SIP tab, insights</t>
        </is>
      </c>
      <c r="D204" s="30" t="inlineStr">
        <is>
          <t>html/portfolio.html</t>
        </is>
      </c>
      <c r="E204" s="30" t="inlineStr">
        <is>
          <t>Done</t>
        </is>
      </c>
      <c r="F204" s="30" t="inlineStr">
        <is>
          <t>P1</t>
        </is>
      </c>
      <c r="G204" s="30" t="inlineStr">
        <is>
          <t>L</t>
        </is>
      </c>
      <c r="H204" s="30" t="n"/>
      <c r="I204" s="30" t="inlineStr">
        <is>
          <t>(tabs)/portfolio</t>
        </is>
      </c>
      <c r="J204" s="30" t="inlineStr">
        <is>
          <t>On-device + Supabase holdings sync (untested against the live project)</t>
        </is>
      </c>
      <c r="K204" s="30" t="inlineStr">
        <is>
          <t>2026-10-12</t>
        </is>
      </c>
    </row>
    <row r="205" ht="15" customHeight="1" s="17">
      <c r="A205" s="30" t="inlineStr">
        <is>
          <t>S-02</t>
        </is>
      </c>
      <c r="B205" s="30" t="inlineStr">
        <is>
          <t>Portfolio &amp; standalone apps</t>
        </is>
      </c>
      <c r="C205" s="30" t="inlineStr">
        <is>
          <t>Portfolio: broker holdings CSV import (Zerodha / Groww)</t>
        </is>
      </c>
      <c r="D205" s="30" t="inlineStr">
        <is>
          <t>js/finos-import.js</t>
        </is>
      </c>
      <c r="E205" s="30" t="inlineStr">
        <is>
          <t>Done</t>
        </is>
      </c>
      <c r="F205" s="30" t="inlineStr">
        <is>
          <t>P1</t>
        </is>
      </c>
      <c r="G205" s="30" t="inlineStr">
        <is>
          <t>M</t>
        </is>
      </c>
      <c r="H205" s="30" t="n">
        <v>13</v>
      </c>
      <c r="I205" s="30" t="inlineStr">
        <is>
          <t>tracker/holdings-import (Portfolio ⇪ Import)</t>
        </is>
      </c>
      <c r="J205" s="30" t="inlineStr">
        <is>
          <t>Zerodha / Groww / generic CSV parsed identically to js/finos-import.js; rows become Portfolio holdings (replace units + avg cost, never add twice); holdings with no ticker/scheme code keep the broker price. CAS PDF import (S-03) still needs the document-ai backend.</t>
        </is>
      </c>
      <c r="K205" s="30" t="inlineStr">
        <is>
          <t>2026-10-12</t>
        </is>
      </c>
    </row>
    <row r="206" ht="15" customHeight="1" s="17">
      <c r="A206" s="30" t="inlineStr">
        <is>
          <t>S-03</t>
        </is>
      </c>
      <c r="B206" s="30" t="inlineStr">
        <is>
          <t>Portfolio &amp; standalone apps</t>
        </is>
      </c>
      <c r="C206" s="30" t="inlineStr">
        <is>
          <t>Portfolio: CAS statement import (PDF)</t>
        </is>
      </c>
      <c r="D206" s="30" t="inlineStr">
        <is>
          <t>js/finos-import.js + document-ai/cas_import.py</t>
        </is>
      </c>
      <c r="E206" s="30" t="inlineStr">
        <is>
          <t>Pending</t>
        </is>
      </c>
      <c r="F206" s="30" t="inlineStr">
        <is>
          <t>P2</t>
        </is>
      </c>
      <c r="G206" s="30" t="inlineStr">
        <is>
          <t>L</t>
        </is>
      </c>
      <c r="H206" s="30" t="n"/>
      <c r="I206" s="30" t="inlineStr">
        <is>
          <t>portfolio/import</t>
        </is>
      </c>
      <c r="J206" s="30" t="inlineStr">
        <is>
          <t>Needs the document-ai backend</t>
        </is>
      </c>
      <c r="K206" s="30" t="inlineStr">
        <is>
          <t>2026-10-12</t>
        </is>
      </c>
    </row>
    <row r="207" ht="15" customHeight="1" s="17">
      <c r="A207" s="30" t="inlineStr">
        <is>
          <t>S-04</t>
        </is>
      </c>
      <c r="B207" s="30" t="inlineStr">
        <is>
          <t>Portfolio &amp; standalone apps</t>
        </is>
      </c>
      <c r="C207" s="30" t="inlineStr">
        <is>
          <t>Portfolio Analyser: XIRR, sector heatmap, treemap</t>
        </is>
      </c>
      <c r="D207" s="30" t="inlineStr">
        <is>
          <t>Porfolio Analyser/portfolio-analyser-v10.html</t>
        </is>
      </c>
      <c r="E207" s="30" t="inlineStr">
        <is>
          <t>Done</t>
        </is>
      </c>
      <c r="F207" s="30" t="inlineStr">
        <is>
          <t>P2</t>
        </is>
      </c>
      <c r="G207" s="30" t="inlineStr">
        <is>
          <t>L</t>
        </is>
      </c>
      <c r="H207" s="30" t="n"/>
      <c r="I207" s="30" t="inlineStr">
        <is>
          <t>portfolio/sectors</t>
        </is>
      </c>
      <c r="J207" s="30" t="inlineStr">
        <is>
          <t>portfolio-analytics.md: XIRR (earlier) plus sector heatmap and treemap from Yahoo's sector names; unmapped stocks are "Unmapped", funds are one bucket, no-price holdings are grey not 0%. HHI and effective N ported. Web preview only. Not verified on a device.</t>
        </is>
      </c>
      <c r="K207" s="30" t="inlineStr">
        <is>
          <t>2026-10-17</t>
        </is>
      </c>
    </row>
    <row r="208" ht="15" customHeight="1" s="17">
      <c r="A208" s="30" t="inlineStr">
        <is>
          <t>S-05</t>
        </is>
      </c>
      <c r="B208" s="30" t="inlineStr">
        <is>
          <t>Portfolio &amp; standalone apps</t>
        </is>
      </c>
      <c r="C208" s="30" t="inlineStr">
        <is>
          <t>Portfolio Analyser: factor regression, Monte Carlo cones</t>
        </is>
      </c>
      <c r="D208" s="30" t="inlineStr">
        <is>
          <t>Porfolio Analyser/portfolio-analyser-v10.html</t>
        </is>
      </c>
      <c r="E208" s="30" t="inlineStr">
        <is>
          <t>Partial</t>
        </is>
      </c>
      <c r="F208" s="30" t="inlineStr">
        <is>
          <t>P3</t>
        </is>
      </c>
      <c r="G208" s="30" t="inlineStr">
        <is>
          <t>L</t>
        </is>
      </c>
      <c r="H208" s="30" t="n"/>
      <c r="I208" s="30" t="inlineStr">
        <is>
          <t>portfolio/simulate, portfolio/risk</t>
        </is>
      </c>
      <c r="J208" s="30" t="inlineStr">
        <is>
          <t>portfolio-analytics.md: seeded Monte Carlo cone from assumptions you type (placeholders labelled) and a one-factor (market) regression vs Nifty 50. Multi-factor (Fama-French) not built: no published Indian factor returns; the website's version is estimated from sector composition, not a regression. Not verified on a device.</t>
        </is>
      </c>
      <c r="K208" s="30" t="inlineStr">
        <is>
          <t>2026-10-17</t>
        </is>
      </c>
    </row>
    <row r="209" ht="15" customHeight="1" s="17">
      <c r="A209" s="30" t="inlineStr">
        <is>
          <t>S-06</t>
        </is>
      </c>
      <c r="B209" s="30" t="inlineStr">
        <is>
          <t>Portfolio &amp; standalone apps</t>
        </is>
      </c>
      <c r="C209" s="30" t="inlineStr">
        <is>
          <t>Portfolio Analyser: news sentiment, peers, promoter trend</t>
        </is>
      </c>
      <c r="D209" s="30" t="inlineStr">
        <is>
          <t>Porfolio Analyser/portfolio-analyser-v10.html</t>
        </is>
      </c>
      <c r="E209" s="30" t="inlineStr">
        <is>
          <t>Partial</t>
        </is>
      </c>
      <c r="F209" s="30" t="inlineStr">
        <is>
          <t>P3</t>
        </is>
      </c>
      <c r="G209" s="30" t="inlineStr">
        <is>
          <t>L</t>
        </is>
      </c>
      <c r="H209" s="30" t="n"/>
      <c r="I209" s="30" t="inlineStr">
        <is>
          <t>portfolio/research</t>
        </is>
      </c>
      <c r="J209" s="30" t="inlineStr">
        <is>
          <t>portfolio-analytics.md: news matched to holdings with the feed's own sentiment labels, valuation table (P/E, P/B, EPS), opt-in peers. Promoter trend NOT built: no shareholding source, and the website table is hard-coded and a quarter old. Not verified on a device.</t>
        </is>
      </c>
      <c r="K209" s="30" t="inlineStr">
        <is>
          <t>2026-10-17</t>
        </is>
      </c>
    </row>
    <row r="210" ht="15" customHeight="1" s="17">
      <c r="A210" s="30" t="inlineStr">
        <is>
          <t>S-07</t>
        </is>
      </c>
      <c r="B210" s="30" t="inlineStr">
        <is>
          <t>Portfolio &amp; standalone apps</t>
        </is>
      </c>
      <c r="C210" s="30" t="inlineStr">
        <is>
          <t>Portfolio Analyser: watchlist &amp; screener</t>
        </is>
      </c>
      <c r="D210" s="30" t="inlineStr">
        <is>
          <t>Porfolio Analyser/portfolio-analyser-v10.html</t>
        </is>
      </c>
      <c r="E210" s="30" t="inlineStr">
        <is>
          <t>Partial</t>
        </is>
      </c>
      <c r="F210" s="30" t="inlineStr">
        <is>
          <t>P2</t>
        </is>
      </c>
      <c r="G210" s="30" t="inlineStr">
        <is>
          <t>M</t>
        </is>
      </c>
      <c r="H210" s="30" t="n"/>
      <c r="I210" s="30" t="inlineStr">
        <is>
          <t>market/screener</t>
        </is>
      </c>
      <c r="J210" s="30" t="inlineStr">
        <is>
          <t>portfolio-analytics.md: watchlist (earlier) plus screener filters on backend fundamentals (sector, P/E, P/B, the Deep Value rule, parity-tested; a missing figure never passes). Presets needing ROE, debt/equity, dividend yield, revenue growth are not built (no data). Not verified on a device.</t>
        </is>
      </c>
      <c r="K210" s="30" t="inlineStr">
        <is>
          <t>2026-10-17</t>
        </is>
      </c>
    </row>
    <row r="211" ht="15" customHeight="1" s="17">
      <c r="A211" s="30" t="inlineStr">
        <is>
          <t>S-08</t>
        </is>
      </c>
      <c r="B211" s="30" t="inlineStr">
        <is>
          <t>Portfolio &amp; standalone apps</t>
        </is>
      </c>
      <c r="C211" s="30" t="inlineStr">
        <is>
          <t>Portfolio Analyser: shareable link, themes, ⌘K palette</t>
        </is>
      </c>
      <c r="D211" s="30" t="inlineStr">
        <is>
          <t>Porfolio Analyser/portfolio-analyser-v10.html</t>
        </is>
      </c>
      <c r="E211" s="30" t="inlineStr">
        <is>
          <t>Not planned</t>
        </is>
      </c>
      <c r="F211" s="30" t="inlineStr">
        <is>
          <t>P3</t>
        </is>
      </c>
      <c r="G211" s="30" t="inlineStr">
        <is>
          <t>M</t>
        </is>
      </c>
      <c r="H211" s="30" t="n"/>
      <c r="I211" s="30" t="n"/>
      <c r="J211" s="30" t="inlineStr">
        <is>
          <t>Desktop-oriented</t>
        </is>
      </c>
      <c r="K211" s="30" t="inlineStr">
        <is>
          <t>2026-10-12</t>
        </is>
      </c>
    </row>
    <row r="212" ht="15" customHeight="1" s="17">
      <c r="A212" s="30" t="inlineStr">
        <is>
          <t>S-09</t>
        </is>
      </c>
      <c r="B212" s="30" t="inlineStr">
        <is>
          <t>Portfolio &amp; standalone apps</t>
        </is>
      </c>
      <c r="C212" s="30" t="inlineStr">
        <is>
          <t>TradeJournal (log, analytics, psychology, OCR scan)</t>
        </is>
      </c>
      <c r="D212" s="30" t="inlineStr">
        <is>
          <t>TradeJournal/</t>
        </is>
      </c>
      <c r="E212" s="30" t="inlineStr">
        <is>
          <t>Partial</t>
        </is>
      </c>
      <c r="F212" s="30" t="inlineStr">
        <is>
          <t>P3</t>
        </is>
      </c>
      <c r="G212" s="30" t="inlineStr">
        <is>
          <t>L</t>
        </is>
      </c>
      <c r="H212" s="30" t="n"/>
      <c r="I212" s="30" t="inlineStr">
        <is>
          <t>journal/</t>
        </is>
      </c>
      <c r="J212" s="30" t="inlineStr">
        <is>
          <t>trade-journal.md: log, edit, analytics, psychology as counts only, CSV / broker trade book / website-backup import with preview, dedupe and undo, CSV export. Device-only from cloud sync (finos_sync_never_ prefix). OCR scan of broker screenshots NOT built (needs an OCR dependency or backend and a privacy decision). Broker file formats untested on real files. Many website analytics (Sharpe, Kelly, VaR, scores, XP) deliberately not ported. Not verified on a device.</t>
        </is>
      </c>
      <c r="K212" s="30" t="inlineStr">
        <is>
          <t>2026-10-17</t>
        </is>
      </c>
    </row>
    <row r="213" ht="15" customHeight="1" s="17">
      <c r="A213" s="30" t="inlineStr">
        <is>
          <t>S-10</t>
        </is>
      </c>
      <c r="B213" s="30" t="inlineStr">
        <is>
          <t>Portfolio &amp; standalone apps</t>
        </is>
      </c>
      <c r="C213" s="30" t="inlineStr">
        <is>
          <t>News app (News1)</t>
        </is>
      </c>
      <c r="D213" s="30" t="inlineStr">
        <is>
          <t>News1/</t>
        </is>
      </c>
      <c r="E213" s="30" t="inlineStr">
        <is>
          <t>Partial</t>
        </is>
      </c>
      <c r="F213" s="30" t="inlineStr">
        <is>
          <t>P3</t>
        </is>
      </c>
      <c r="G213" s="30" t="inlineStr">
        <is>
          <t>M</t>
        </is>
      </c>
      <c r="H213" s="30" t="n"/>
      <c r="I213" s="30" t="inlineStr">
        <is>
          <t>markets/news</t>
        </is>
      </c>
      <c r="J213" s="30" t="inlineStr">
        <is>
          <t>The headlines part is on the phone: app/market/news.tsx (see M-19) via the arya-ai backend's news route, with an honest offline state. The separate News1 app (Vite + Express service, its own sources and npm advisories) is not ported.</t>
        </is>
      </c>
      <c r="K213" s="30" t="inlineStr">
        <is>
          <t>2026-10-17</t>
        </is>
      </c>
    </row>
    <row r="214" ht="15" customHeight="1" s="17">
      <c r="A214" s="30" t="inlineStr">
        <is>
          <t>A-01</t>
        </is>
      </c>
      <c r="B214" s="30" t="inlineStr">
        <is>
          <t>Arya AI</t>
        </is>
      </c>
      <c r="C214" s="30" t="inlineStr">
        <is>
          <t>Arya chat (streaming, profile context)</t>
        </is>
      </c>
      <c r="D214" s="30" t="inlineStr">
        <is>
          <t>js/arya-ai.js</t>
        </is>
      </c>
      <c r="E214" s="30" t="inlineStr">
        <is>
          <t>Done</t>
        </is>
      </c>
      <c r="F214" s="30" t="inlineStr">
        <is>
          <t>P1</t>
        </is>
      </c>
      <c r="G214" s="30" t="inlineStr">
        <is>
          <t>M</t>
        </is>
      </c>
      <c r="H214" s="30" t="n"/>
      <c r="I214" s="30" t="inlineStr">
        <is>
          <t>(tabs)/arya</t>
        </is>
      </c>
      <c r="J214" s="30" t="inlineStr">
        <is>
          <t>POST /api/chat SSE</t>
        </is>
      </c>
      <c r="K214" s="30" t="inlineStr">
        <is>
          <t>2026-10-12</t>
        </is>
      </c>
    </row>
    <row r="215" ht="15" customHeight="1" s="17">
      <c r="A215" s="30" t="inlineStr">
        <is>
          <t>A-02</t>
        </is>
      </c>
      <c r="B215" s="30" t="inlineStr">
        <is>
          <t>Arya AI</t>
        </is>
      </c>
      <c r="C215" s="30" t="inlineStr">
        <is>
          <t>Arya: PULSE ranked insights (24 sections)</t>
        </is>
      </c>
      <c r="D215" s="30" t="inlineStr">
        <is>
          <t>js/arya-sidebar-panel.js</t>
        </is>
      </c>
      <c r="E215" s="30" t="inlineStr">
        <is>
          <t>Partial</t>
        </is>
      </c>
      <c r="F215" s="30" t="inlineStr">
        <is>
          <t>P2</t>
        </is>
      </c>
      <c r="G215" s="30" t="inlineStr">
        <is>
          <t>L</t>
        </is>
      </c>
      <c r="H215" s="30" t="n"/>
      <c r="I215" s="30" t="inlineStr">
        <is>
          <t>arya/pulse</t>
        </is>
      </c>
      <c r="J215" s="30" t="inlineStr">
        <is>
          <t>arya-tabs.md: the website has 27 ranked widgets (not 24); 17 are on the phone (added net worth timeline, wealth velocity from an on-device history, Monte Carlo "will my money last"); 10 are left out with a reason each (assumption-driven or no source), listed in lib/pulseCards.ts. Not verified on a device.</t>
        </is>
      </c>
      <c r="K215" s="30" t="inlineStr">
        <is>
          <t>2026-10-17</t>
        </is>
      </c>
    </row>
    <row r="216" ht="15" customHeight="1" s="17">
      <c r="A216" s="30" t="inlineStr">
        <is>
          <t>A-03</t>
        </is>
      </c>
      <c r="B216" s="30" t="inlineStr">
        <is>
          <t>Arya AI</t>
        </is>
      </c>
      <c r="C216" s="30" t="inlineStr">
        <is>
          <t>Arya: Plan / Map / Life tabs</t>
        </is>
      </c>
      <c r="D216" s="30" t="inlineStr">
        <is>
          <t>js/arya-sidebar-panel.js + arya-roadmap.js</t>
        </is>
      </c>
      <c r="E216" s="30" t="inlineStr">
        <is>
          <t>Done</t>
        </is>
      </c>
      <c r="F216" s="30" t="inlineStr">
        <is>
          <t>P3</t>
        </is>
      </c>
      <c r="G216" s="30" t="inlineStr">
        <is>
          <t>L</t>
        </is>
      </c>
      <c r="H216" s="30" t="n"/>
      <c r="I216" s="30" t="inlineStr">
        <is>
          <t>arya/plan, arya/map, arya/life</t>
        </is>
      </c>
      <c r="J216" s="30" t="inlineStr">
        <is>
          <t>arya-tabs.md: Plan (8 steps, "needs a figure" when unrecorded), Map (allocation from recorded assets), Life (timeline of declared events and goal dates). No assumed income, age or return. Website age-benchmark targets not built. Web preview only. Not verified on a device.</t>
        </is>
      </c>
      <c r="K216" s="30" t="inlineStr">
        <is>
          <t>2026-10-17</t>
        </is>
      </c>
    </row>
    <row r="217" ht="15" customHeight="1" s="17">
      <c r="A217" s="30" t="inlineStr">
        <is>
          <t>A-04</t>
        </is>
      </c>
      <c r="B217" s="30" t="inlineStr">
        <is>
          <t>Arya AI</t>
        </is>
      </c>
      <c r="C217" s="30" t="inlineStr">
        <is>
          <t>Arya: Cal / India / Agent tabs</t>
        </is>
      </c>
      <c r="D217" s="30" t="inlineStr">
        <is>
          <t>js/arya-sidebar-panel.js</t>
        </is>
      </c>
      <c r="E217" s="30" t="inlineStr">
        <is>
          <t>Done</t>
        </is>
      </c>
      <c r="F217" s="30" t="inlineStr">
        <is>
          <t>P3</t>
        </is>
      </c>
      <c r="G217" s="30" t="inlineStr">
        <is>
          <t>L</t>
        </is>
      </c>
      <c r="H217" s="30" t="n"/>
      <c r="I217" s="30" t="inlineStr">
        <is>
          <t>arya/cal, arya/india, arya/agent</t>
        </is>
      </c>
      <c r="J217" s="30" t="inlineStr">
        <is>
          <t>arya-tabs.md: Cal (upcoming dates, 26-week spending heatmap), India (income-tax rules with source and year; the website's unsourced state cost-of-life map is NOT ported), Agent (tool loop screen). Rules are FY 2025-26 as coded; the screen warns when today's FY is later. Not verified on a device.</t>
        </is>
      </c>
      <c r="K217" s="30" t="inlineStr">
        <is>
          <t>2026-10-17</t>
        </is>
      </c>
    </row>
    <row r="218" ht="15" customHeight="1" s="17">
      <c r="A218" s="30" t="inlineStr">
        <is>
          <t>A-05</t>
        </is>
      </c>
      <c r="B218" s="30" t="inlineStr">
        <is>
          <t>Arya AI</t>
        </is>
      </c>
      <c r="C218" s="30" t="inlineStr">
        <is>
          <t>Arya: agent tools (33+, live quotes, analysis, scenarios)</t>
        </is>
      </c>
      <c r="D218" s="30" t="inlineStr">
        <is>
          <t>js/arya-sidebar-panel.js</t>
        </is>
      </c>
      <c r="E218" s="30" t="inlineStr">
        <is>
          <t>Partial</t>
        </is>
      </c>
      <c r="F218" s="30" t="inlineStr">
        <is>
          <t>P2</t>
        </is>
      </c>
      <c r="G218" s="30" t="inlineStr">
        <is>
          <t>L</t>
        </is>
      </c>
      <c r="H218" s="30" t="n"/>
      <c r="I218" s="30" t="inlineStr">
        <is>
          <t>arya/tools</t>
        </is>
      </c>
      <c r="J218" s="30" t="inlineStr">
        <is>
          <t>arya-tabs.md: a visible phone tool loop with 44 tools (recorded figures, calculator hub, public lookups); every call is listed, results carry source and time, off switch. A model-chosen tool loop is NOT built (needs native tool calling on /api/chat) and personas and run history are not built. Not verified on a device.</t>
        </is>
      </c>
      <c r="K218" s="30" t="inlineStr">
        <is>
          <t>2026-10-17</t>
        </is>
      </c>
    </row>
    <row r="219" ht="15" customHeight="1" s="17">
      <c r="A219" s="30" t="inlineStr">
        <is>
          <t>A-06</t>
        </is>
      </c>
      <c r="B219" s="30" t="inlineStr">
        <is>
          <t>Arya AI</t>
        </is>
      </c>
      <c r="C219" s="30" t="inlineStr">
        <is>
          <t>Arya: long-term memory &amp; life events</t>
        </is>
      </c>
      <c r="D219" s="30" t="inlineStr">
        <is>
          <t>js/arya-memory.js, arya-life-events.js</t>
        </is>
      </c>
      <c r="E219" s="30" t="inlineStr">
        <is>
          <t>Done</t>
        </is>
      </c>
      <c r="F219" s="30" t="inlineStr">
        <is>
          <t>P3</t>
        </is>
      </c>
      <c r="G219" s="30" t="inlineStr">
        <is>
          <t>M</t>
        </is>
      </c>
      <c r="H219" s="30" t="n"/>
      <c r="I219" s="30" t="inlineStr">
        <is>
          <t>arya/memory</t>
        </is>
      </c>
      <c r="J219" s="30" t="inlineStr">
        <is>
          <t>Verified; chat can now write a note through the memory store's refusal rules, the Life tab shows life events with what each changes. Switches default off. Not verified on a device.</t>
        </is>
      </c>
      <c r="K219" s="30" t="inlineStr">
        <is>
          <t>2026-10-17</t>
        </is>
      </c>
    </row>
    <row r="220" ht="15" customHeight="1" s="17">
      <c r="A220" s="30" t="inlineStr">
        <is>
          <t>A-07</t>
        </is>
      </c>
      <c r="B220" s="30" t="inlineStr">
        <is>
          <t>Arya AI</t>
        </is>
      </c>
      <c r="C220" s="30" t="inlineStr">
        <is>
          <t>Arya: safety guardrails on advice prompts</t>
        </is>
      </c>
      <c r="D220" s="30" t="inlineStr">
        <is>
          <t>js/arya-guardrails.js</t>
        </is>
      </c>
      <c r="E220" s="30" t="inlineStr">
        <is>
          <t>Done</t>
        </is>
      </c>
      <c r="F220" s="30" t="inlineStr">
        <is>
          <t>P1</t>
        </is>
      </c>
      <c r="G220" s="30" t="inlineStr">
        <is>
          <t>S</t>
        </is>
      </c>
      <c r="H220" s="30" t="n">
        <v>14</v>
      </c>
      <c r="I220" s="30" t="inlineStr">
        <is>
          <t>(tabs)/arya</t>
        </is>
      </c>
      <c r="J220" s="30" t="inlineStr">
        <is>
          <t>Same rules and wording as js/arya-guardrails.js (parity-tested on 420+ pairs); tax-evasion requests are refused on the phone before any network call; notes are appended to finished or stopped answers.</t>
        </is>
      </c>
      <c r="K220" s="30" t="inlineStr">
        <is>
          <t>2026-10-12</t>
        </is>
      </c>
    </row>
    <row r="221" ht="15" customHeight="1" s="17">
      <c r="A221" s="30" t="inlineStr">
        <is>
          <t>A-08</t>
        </is>
      </c>
      <c r="B221" s="30" t="inlineStr">
        <is>
          <t>Arya AI</t>
        </is>
      </c>
      <c r="C221" s="30" t="inlineStr">
        <is>
          <t>Voice agent (speech in / out)</t>
        </is>
      </c>
      <c r="D221" s="30" t="inlineStr">
        <is>
          <t>voiceagent/</t>
        </is>
      </c>
      <c r="E221" s="30" t="inlineStr">
        <is>
          <t>Pending</t>
        </is>
      </c>
      <c r="F221" s="30" t="inlineStr">
        <is>
          <t>P3</t>
        </is>
      </c>
      <c r="G221" s="30" t="inlineStr">
        <is>
          <t>L</t>
        </is>
      </c>
      <c r="H221" s="30" t="n"/>
      <c r="I221" s="30" t="inlineStr">
        <is>
          <t>arya/voice</t>
        </is>
      </c>
      <c r="J221" s="30" t="inlineStr">
        <is>
          <t>Not built. The microphone permission is not declared: RECORD_AUDIO is blocked in app.json and a test fails if a microphone, speech or camera permission returns (R-17).</t>
        </is>
      </c>
      <c r="K221" s="30" t="inlineStr">
        <is>
          <t>2026-10-17</t>
        </is>
      </c>
    </row>
    <row r="222" ht="15" customHeight="1" s="17">
      <c r="A222" s="30" t="inlineStr">
        <is>
          <t>A-09</t>
        </is>
      </c>
      <c r="B222" s="30" t="inlineStr">
        <is>
          <t>Arya AI</t>
        </is>
      </c>
      <c r="C222" s="30" t="inlineStr">
        <is>
          <t>Money AI page / chatbot brain / RAG filings</t>
        </is>
      </c>
      <c r="D222" s="30" t="inlineStr">
        <is>
          <t>html/money-ai.html, chatbot/, rag-engine/</t>
        </is>
      </c>
      <c r="E222" s="30" t="inlineStr">
        <is>
          <t>Not planned</t>
        </is>
      </c>
      <c r="F222" s="30" t="inlineStr">
        <is>
          <t>P3</t>
        </is>
      </c>
      <c r="G222" s="30" t="inlineStr">
        <is>
          <t>L</t>
        </is>
      </c>
      <c r="H222" s="30" t="n"/>
      <c r="I222" s="30" t="inlineStr">
        <is>
          <t>arya/</t>
        </is>
      </c>
      <c r="J222" s="30" t="inlineStr">
        <is>
          <t>arya-tabs.md: Money AI page = the Arya tab (A-01); the chatbot brain is a server-side proxy the phone already reaches through /api/chat; RAG filings cannot be honest because no NSE/BSE filings are indexed (only regulation and FIN-OS page documents). Backend request in docs/PENDING.md U14. Not verified on a device.</t>
        </is>
      </c>
      <c r="K222" s="30" t="inlineStr">
        <is>
          <t>2026-10-17</t>
        </is>
      </c>
    </row>
    <row r="223" ht="15" customHeight="1" s="17">
      <c r="A223" s="30" t="inlineStr">
        <is>
          <t>P-01</t>
        </is>
      </c>
      <c r="B223" s="30" t="inlineStr">
        <is>
          <t>Platform &amp; account</t>
        </is>
      </c>
      <c r="C223" s="30" t="inlineStr">
        <is>
          <t>Light / Bloomberg / Saffron themes</t>
        </is>
      </c>
      <c r="D223" s="30" t="inlineStr">
        <is>
          <t>css/theme.css</t>
        </is>
      </c>
      <c r="E223" s="30" t="inlineStr">
        <is>
          <t>Done</t>
        </is>
      </c>
      <c r="F223" s="30" t="inlineStr">
        <is>
          <t>P3</t>
        </is>
      </c>
      <c r="G223" s="30" t="inlineStr">
        <is>
          <t>M</t>
        </is>
      </c>
      <c r="H223" s="30" t="n"/>
      <c r="I223" s="30" t="inlineStr">
        <is>
          <t>lib/theme.ts, Settings → Appearance</t>
        </is>
      </c>
      <c r="J223" s="30" t="inlineStr">
        <is>
          <t>Auto / Dark / Light done and contrast-audited. Bloomberg and Saffron are not app-wide themes on the website (stock platform / Arya panel only)</t>
        </is>
      </c>
      <c r="K223" s="30" t="inlineStr">
        <is>
          <t>2026-10-14</t>
        </is>
      </c>
    </row>
    <row r="224" ht="15" customHeight="1" s="17">
      <c r="A224" s="30" t="inlineStr">
        <is>
          <t>P-02</t>
        </is>
      </c>
      <c r="B224" s="30" t="inlineStr">
        <is>
          <t>Platform &amp; account</t>
        </is>
      </c>
      <c r="C224" s="30" t="inlineStr">
        <is>
          <t>Hindi UI (and lakh/crore units)</t>
        </is>
      </c>
      <c r="D224" s="30" t="inlineStr">
        <is>
          <t>js/finos-i18n.js, js/i18n/hi.js</t>
        </is>
      </c>
      <c r="E224" s="30" t="inlineStr">
        <is>
          <t>Done</t>
        </is>
      </c>
      <c r="F224" s="30" t="inlineStr">
        <is>
          <t>P2</t>
        </is>
      </c>
      <c r="G224" s="30" t="inlineStr">
        <is>
          <t>M</t>
        </is>
      </c>
      <c r="H224" s="30" t="n"/>
      <c r="I224" s="30" t="inlineStr">
        <is>
          <t>lib/i18n*.ts, Settings → Language</t>
        </is>
      </c>
      <c r="J224" s="30" t="inlineStr">
        <is>
          <t>Hindi lookup applied to every Text/TextInput; lakh/crore units; first-pass wording needs native review</t>
        </is>
      </c>
      <c r="K224" s="30" t="inlineStr">
        <is>
          <t>2026-10-13</t>
        </is>
      </c>
    </row>
    <row r="225" ht="15" customHeight="1" s="17">
      <c r="A225" s="30" t="inlineStr">
        <is>
          <t>P-03</t>
        </is>
      </c>
      <c r="B225" s="30" t="inlineStr">
        <is>
          <t>Platform &amp; account</t>
        </is>
      </c>
      <c r="C225" s="30" t="inlineStr">
        <is>
          <t>Passcode lock + encrypted backups (vault)</t>
        </is>
      </c>
      <c r="D225" s="30" t="inlineStr">
        <is>
          <t>js/finos-vault.js</t>
        </is>
      </c>
      <c r="E225" s="30" t="inlineStr">
        <is>
          <t>Done</t>
        </is>
      </c>
      <c r="F225" s="30" t="inlineStr">
        <is>
          <t>P2</t>
        </is>
      </c>
      <c r="G225" s="30" t="inlineStr">
        <is>
          <t>L</t>
        </is>
      </c>
      <c r="H225" s="30" t="n"/>
      <c r="I225" s="30" t="inlineStr">
        <is>
          <t>app/security.tsx</t>
        </is>
      </c>
      <c r="J225" s="30" t="inlineStr">
        <is>
          <t>PIN lock + encrypted backup interoperable with the website vault. Lock is a screen gate (not storage encryption). Not yet tried with biometrics / app switcher on a device</t>
        </is>
      </c>
      <c r="K225" s="30" t="inlineStr">
        <is>
          <t>2026-10-14</t>
        </is>
      </c>
    </row>
    <row r="226" ht="15" customHeight="1" s="17">
      <c r="A226" s="30" t="inlineStr">
        <is>
          <t>P-04</t>
        </is>
      </c>
      <c r="B226" s="30" t="inlineStr">
        <is>
          <t>Platform &amp; account</t>
        </is>
      </c>
      <c r="C226" s="30" t="inlineStr">
        <is>
          <t>Global search (⌘K)</t>
        </is>
      </c>
      <c r="D226" s="30" t="inlineStr">
        <is>
          <t>js/finos-search.js</t>
        </is>
      </c>
      <c r="E226" s="30" t="inlineStr">
        <is>
          <t>Done</t>
        </is>
      </c>
      <c r="F226" s="30" t="inlineStr">
        <is>
          <t>P3</t>
        </is>
      </c>
      <c r="G226" s="30" t="inlineStr">
        <is>
          <t>S</t>
        </is>
      </c>
      <c r="H226" s="30" t="n"/>
      <c r="I226" s="30" t="inlineStr">
        <is>
          <t>app/search.tsx</t>
        </is>
      </c>
      <c r="J226" s="30" t="inlineStr">
        <is>
          <t>Index guard test: every route exists, every tool/tracker is listed</t>
        </is>
      </c>
      <c r="K226" s="30" t="inlineStr">
        <is>
          <t>2026-10-14</t>
        </is>
      </c>
    </row>
    <row r="227" ht="15" customHeight="1" s="17">
      <c r="A227" s="30" t="inlineStr">
        <is>
          <t>P-05</t>
        </is>
      </c>
      <c r="B227" s="30" t="inlineStr">
        <is>
          <t>Platform &amp; account</t>
        </is>
      </c>
      <c r="C227" s="30" t="inlineStr">
        <is>
          <t>Alerts bell (alert engine, 14 rules)</t>
        </is>
      </c>
      <c r="D227" s="30" t="inlineStr">
        <is>
          <t>js/finos-alerts.js, alerts/</t>
        </is>
      </c>
      <c r="E227" s="30" t="inlineStr">
        <is>
          <t>Done</t>
        </is>
      </c>
      <c r="F227" s="30" t="inlineStr">
        <is>
          <t>P2</t>
        </is>
      </c>
      <c r="G227" s="30" t="inlineStr">
        <is>
          <t>M</t>
        </is>
      </c>
      <c r="H227" s="30" t="n"/>
      <c r="I227" s="30" t="inlineStr">
        <is>
          <t>app/alerts.tsx</t>
        </is>
      </c>
      <c r="J227" s="30" t="inlineStr">
        <is>
          <t>On-device rules from recorded data; bank-feed rules (missed SIP, salary credit, card bill) and market drop are not faked</t>
        </is>
      </c>
      <c r="K227" s="30" t="inlineStr">
        <is>
          <t>2026-10-14</t>
        </is>
      </c>
    </row>
    <row r="228" ht="15" customHeight="1" s="17">
      <c r="A228" s="30" t="inlineStr">
        <is>
          <t>P-06</t>
        </is>
      </c>
      <c r="B228" s="30" t="inlineStr">
        <is>
          <t>Platform &amp; account</t>
        </is>
      </c>
      <c r="C228" s="30" t="inlineStr">
        <is>
          <t>Local notifications / background reminders</t>
        </is>
      </c>
      <c r="D228" s="30" t="inlineStr">
        <is>
          <t>js/finos-reminders.js</t>
        </is>
      </c>
      <c r="E228" s="30" t="inlineStr">
        <is>
          <t>Partial</t>
        </is>
      </c>
      <c r="F228" s="30" t="inlineStr">
        <is>
          <t>P1</t>
        </is>
      </c>
      <c r="G228" s="30" t="inlineStr">
        <is>
          <t>L</t>
        </is>
      </c>
      <c r="H228" s="30" t="n"/>
      <c r="I228" s="30" t="inlineStr">
        <is>
          <t>lib/reminders*.ts, Settings → Reminders</t>
        </is>
      </c>
      <c r="J228" s="30" t="inlineStr">
        <is>
          <t>Planner unit-tested (11 cases); the explain-first permission flow (lib/permissions.ts, permissionPrompt) and OS scheduling are built but NOT verified on a device (needs R-08/R-09; checklist rows D-20..D-26). Local only, no push token; scheduled and delivered notices are cleared by Erase.</t>
        </is>
      </c>
      <c r="K228" s="30" t="inlineStr">
        <is>
          <t>2026-10-17</t>
        </is>
      </c>
    </row>
    <row r="229" ht="15" customHeight="1" s="17">
      <c r="A229" s="30" t="inlineStr">
        <is>
          <t>P-07</t>
        </is>
      </c>
      <c r="B229" s="30" t="inlineStr">
        <is>
          <t>Platform &amp; account</t>
        </is>
      </c>
      <c r="C229" s="30" t="inlineStr">
        <is>
          <t>Personalization: greetings, nudges, status strip</t>
        </is>
      </c>
      <c r="D229" s="30" t="inlineStr">
        <is>
          <t>js/finos-personalization.js</t>
        </is>
      </c>
      <c r="E229" s="30" t="inlineStr">
        <is>
          <t>Done</t>
        </is>
      </c>
      <c r="F229" s="30" t="inlineStr">
        <is>
          <t>P3</t>
        </is>
      </c>
      <c r="G229" s="30" t="inlineStr">
        <is>
          <t>M</t>
        </is>
      </c>
      <c r="H229" s="30" t="n"/>
      <c r="I229" s="30" t="inlineStr">
        <is>
          <t>components/Nudges.tsx</t>
        </is>
      </c>
      <c r="J229" s="30" t="inlineStr">
        <is>
          <t>Home (app/(tabs)/dashboard.tsx, lib/persona.ts, components/PersonaStrip.tsx): time-of-day greeting with the first name only when one is recorded (no stand-in name), 'N-day streak' from day two, and a strip of savings rate, net worth and Money Score, each only when recorded; the cross hides it and Settings brings it back (finos_persona_mobile, device-only). Nudges as before. An honest subset of FinosPersona: left out on purpose are the Financial DNA archetype and life-stage labels, the Health score chip (it rests on a neutral DNA baseline and a 60,000 income fallback), FIRE % and the trade-journal win rate. Web preview only, not a device.</t>
        </is>
      </c>
      <c r="K229" s="30" t="inlineStr">
        <is>
          <t>2026-10-17</t>
        </is>
      </c>
    </row>
    <row r="230" ht="15" customHeight="1" s="17">
      <c r="A230" s="30" t="inlineStr">
        <is>
          <t>P-08</t>
        </is>
      </c>
      <c r="B230" s="30" t="inlineStr">
        <is>
          <t>Platform &amp; account</t>
        </is>
      </c>
      <c r="C230" s="30" t="inlineStr">
        <is>
          <t>Onboarding + DNA quiz</t>
        </is>
      </c>
      <c r="D230" s="30" t="inlineStr">
        <is>
          <t>html/onboarding.html, dna.html</t>
        </is>
      </c>
      <c r="E230" s="30" t="inlineStr">
        <is>
          <t>Done</t>
        </is>
      </c>
      <c r="F230" s="30" t="inlineStr">
        <is>
          <t>P2</t>
        </is>
      </c>
      <c r="G230" s="30" t="inlineStr">
        <is>
          <t>L</t>
        </is>
      </c>
      <c r="H230" s="30" t="n"/>
      <c r="I230" s="30" t="inlineStr">
        <is>
          <t>app/tools/dna.tsx</t>
        </is>
      </c>
      <c r="J230" s="30" t="inlineStr">
        <is>
          <t>app/onboarding/welcome.tsx: skippable and resumable, shown at most twice, never for a phone that already holds data, re-openable from Settings, writes only answered fields.</t>
        </is>
      </c>
      <c r="K230" s="30" t="inlineStr">
        <is>
          <t>2026-10-15</t>
        </is>
      </c>
    </row>
    <row r="231" ht="15" customHeight="1" s="17">
      <c r="A231" s="30" t="inlineStr">
        <is>
          <t>P-09</t>
        </is>
      </c>
      <c r="B231" s="30" t="inlineStr">
        <is>
          <t>Platform &amp; account</t>
        </is>
      </c>
      <c r="C231" s="30" t="inlineStr">
        <is>
          <t>Profile page</t>
        </is>
      </c>
      <c r="D231" s="30" t="inlineStr">
        <is>
          <t>html/profile.html</t>
        </is>
      </c>
      <c r="E231" s="30" t="inlineStr">
        <is>
          <t>Done</t>
        </is>
      </c>
      <c r="F231" s="30" t="inlineStr">
        <is>
          <t>P2</t>
        </is>
      </c>
      <c r="G231" s="30" t="inlineStr">
        <is>
          <t>S</t>
        </is>
      </c>
      <c r="H231" s="30" t="n"/>
      <c r="I231" s="30" t="inlineStr">
        <is>
          <t>app/profile.tsx</t>
        </is>
      </c>
      <c r="J231" s="30" t="inlineStr">
        <is>
          <t>Name, age, income, dependents on the website keys; no PII beyond that by design</t>
        </is>
      </c>
      <c r="K231" s="30" t="inlineStr">
        <is>
          <t>2026-10-14</t>
        </is>
      </c>
    </row>
    <row r="232" ht="15" customHeight="1" s="17">
      <c r="A232" s="30" t="inlineStr">
        <is>
          <t>P-10</t>
        </is>
      </c>
      <c r="B232" s="30" t="inlineStr">
        <is>
          <t>Platform &amp; account</t>
        </is>
      </c>
      <c r="C232" s="30" t="inlineStr">
        <is>
          <t>Google sign-in</t>
        </is>
      </c>
      <c r="D232" s="30" t="inlineStr">
        <is>
          <t>js/auth.js</t>
        </is>
      </c>
      <c r="E232" s="30" t="inlineStr">
        <is>
          <t>Partial</t>
        </is>
      </c>
      <c r="F232" s="30" t="inlineStr">
        <is>
          <t>P3</t>
        </is>
      </c>
      <c r="G232" s="30" t="inlineStr">
        <is>
          <t>S</t>
        </is>
      </c>
      <c r="H232" s="30" t="n"/>
      <c r="I232" s="30" t="n"/>
      <c r="J232" s="30" t="inlineStr">
        <is>
          <t>Code path built and unit-tested with fakes (lib/googleAuth.ts); the button is hidden unless EXPO_PUBLIC_GOOGLE_SIGNIN=1. Needs finos://auth-callback in the Supabase redirect list; never run against a real project.</t>
        </is>
      </c>
      <c r="K232" s="30" t="inlineStr">
        <is>
          <t>2026-10-15</t>
        </is>
      </c>
    </row>
    <row r="233" ht="15" customHeight="1" s="17">
      <c r="A233" s="30" t="inlineStr">
        <is>
          <t>P-11</t>
        </is>
      </c>
      <c r="B233" s="30" t="inlineStr">
        <is>
          <t>Platform &amp; account</t>
        </is>
      </c>
      <c r="C233" s="30" t="inlineStr">
        <is>
          <t>Feedback loop + usage opt-in</t>
        </is>
      </c>
      <c r="D233" s="30" t="inlineStr">
        <is>
          <t>js/finos-feedback.js</t>
        </is>
      </c>
      <c r="E233" s="30" t="inlineStr">
        <is>
          <t>Done</t>
        </is>
      </c>
      <c r="F233" s="30" t="inlineStr">
        <is>
          <t>P3</t>
        </is>
      </c>
      <c r="G233" s="30" t="inlineStr">
        <is>
          <t>M</t>
        </is>
      </c>
      <c r="H233" s="30" t="n"/>
      <c r="I233" s="30" t="n"/>
      <c r="J233" s="30" t="inlineStr">
        <is>
          <t>app/feedback.tsx and components/FeedbackPrompt.tsx: saved on the phone first, share sheet only; redaction parity-tested against the website; send() decisions equal the website's. The endpoint is null, as on the website (U3).</t>
        </is>
      </c>
      <c r="K233" s="30" t="inlineStr">
        <is>
          <t>2026-10-15</t>
        </is>
      </c>
    </row>
    <row r="234" ht="15" customHeight="1" s="17">
      <c r="A234" s="30" t="inlineStr">
        <is>
          <t>P-12</t>
        </is>
      </c>
      <c r="B234" s="30" t="inlineStr">
        <is>
          <t>Platform &amp; account</t>
        </is>
      </c>
      <c r="C234" s="30" t="inlineStr">
        <is>
          <t>Settings parity (every preference takes effect)</t>
        </is>
      </c>
      <c r="D234" s="30" t="inlineStr">
        <is>
          <t>html/settings.html</t>
        </is>
      </c>
      <c r="E234" s="30" t="inlineStr">
        <is>
          <t>Done</t>
        </is>
      </c>
      <c r="F234" s="30" t="inlineStr">
        <is>
          <t>P2</t>
        </is>
      </c>
      <c r="G234" s="30" t="inlineStr">
        <is>
          <t>M</t>
        </is>
      </c>
      <c r="H234" s="30" t="n"/>
      <c r="I234" s="30" t="n"/>
      <c r="J234" s="30" t="inlineStr">
        <is>
          <t>The no-effect 'Price Alerts' switch was removed; Settings now says reminders are not available and points to the Financial calendar. Name, income and backend host all take effect.</t>
        </is>
      </c>
      <c r="K234" s="30" t="inlineStr">
        <is>
          <t>2026-10-12</t>
        </is>
      </c>
    </row>
    <row r="235" ht="15" customHeight="1" s="17">
      <c r="A235" s="30" t="inlineStr">
        <is>
          <t>P-13</t>
        </is>
      </c>
      <c r="B235" s="30" t="inlineStr">
        <is>
          <t>Platform &amp; account</t>
        </is>
      </c>
      <c r="C235" s="30" t="inlineStr">
        <is>
          <t>Export / backup my data</t>
        </is>
      </c>
      <c r="D235" s="30" t="inlineStr">
        <is>
          <t>html/settings.html</t>
        </is>
      </c>
      <c r="E235" s="30" t="inlineStr">
        <is>
          <t>Done</t>
        </is>
      </c>
      <c r="F235" s="30" t="inlineStr">
        <is>
          <t>P1</t>
        </is>
      </c>
      <c r="G235" s="30" t="inlineStr">
        <is>
          <t>S</t>
        </is>
      </c>
      <c r="H235" s="30" t="n"/>
      <c r="I235" s="30" t="n"/>
      <c r="J235" s="30" t="inlineStr">
        <is>
          <t>Privacy &amp; your data → Export my data (JSON; sign-in tokens never included).</t>
        </is>
      </c>
      <c r="K235" s="30" t="inlineStr">
        <is>
          <t>2026-10-12</t>
        </is>
      </c>
    </row>
    <row r="236" ht="15" customHeight="1" s="17">
      <c r="A236" s="30" t="inlineStr">
        <is>
          <t>P-14</t>
        </is>
      </c>
      <c r="B236" s="30" t="inlineStr">
        <is>
          <t>Platform &amp; account</t>
        </is>
      </c>
      <c r="C236" s="30" t="inlineStr">
        <is>
          <t>Login, sign-up, sign-out (email + password)</t>
        </is>
      </c>
      <c r="D236" s="30" t="inlineStr">
        <is>
          <t>js/auth.js</t>
        </is>
      </c>
      <c r="E236" s="30" t="inlineStr">
        <is>
          <t>Done</t>
        </is>
      </c>
      <c r="F236" s="30" t="inlineStr">
        <is>
          <t>P1</t>
        </is>
      </c>
      <c r="G236" s="30" t="inlineStr">
        <is>
          <t>M</t>
        </is>
      </c>
      <c r="H236" s="30" t="n"/>
      <c r="I236" s="30" t="n"/>
      <c r="J236" s="30" t="inlineStr">
        <is>
          <t>Built; real sign-in untested against the live project</t>
        </is>
      </c>
      <c r="K236" s="30" t="inlineStr">
        <is>
          <t>2026-10-12</t>
        </is>
      </c>
    </row>
    <row r="237" ht="15" customHeight="1" s="17">
      <c r="A237" s="30" t="inlineStr">
        <is>
          <t>P-15</t>
        </is>
      </c>
      <c r="B237" s="30" t="inlineStr">
        <is>
          <t>Platform &amp; account</t>
        </is>
      </c>
      <c r="C237" s="30" t="inlineStr">
        <is>
          <t>Tracker sync with the website (three-way merge)</t>
        </is>
      </c>
      <c r="D237" s="30" t="inlineStr">
        <is>
          <t>js/finos-tracker-sync.js</t>
        </is>
      </c>
      <c r="E237" s="30" t="inlineStr">
        <is>
          <t>Done</t>
        </is>
      </c>
      <c r="F237" s="30" t="inlineStr">
        <is>
          <t>P1</t>
        </is>
      </c>
      <c r="G237" s="30" t="inlineStr">
        <is>
          <t>L</t>
        </is>
      </c>
      <c r="H237" s="30" t="n"/>
      <c r="I237" s="30" t="n"/>
      <c r="J237" s="30" t="inlineStr">
        <is>
          <t>Built and tested against mocks; needs the live table</t>
        </is>
      </c>
      <c r="K237" s="30" t="inlineStr">
        <is>
          <t>2026-10-12</t>
        </is>
      </c>
    </row>
    <row r="238" ht="15" customHeight="1" s="17">
      <c r="A238" s="30" t="inlineStr">
        <is>
          <t>P-16</t>
        </is>
      </c>
      <c r="B238" s="30" t="inlineStr">
        <is>
          <t>Platform &amp; account</t>
        </is>
      </c>
      <c r="C238" s="30" t="inlineStr">
        <is>
          <t>Holdings cloud sync</t>
        </is>
      </c>
      <c r="D238" s="30" t="inlineStr">
        <is>
          <t>supabase/holdings.sql</t>
        </is>
      </c>
      <c r="E238" s="30" t="inlineStr">
        <is>
          <t>Done</t>
        </is>
      </c>
      <c r="F238" s="30" t="inlineStr">
        <is>
          <t>P1</t>
        </is>
      </c>
      <c r="G238" s="30" t="inlineStr">
        <is>
          <t>M</t>
        </is>
      </c>
      <c r="H238" s="30" t="n"/>
      <c r="I238" s="30" t="n"/>
      <c r="J238" s="30" t="inlineStr">
        <is>
          <t>Built and tested against mocks; needs the live table</t>
        </is>
      </c>
      <c r="K238" s="30" t="inlineStr">
        <is>
          <t>2026-10-12</t>
        </is>
      </c>
    </row>
    <row r="239" ht="23.25" customHeight="1" s="17">
      <c r="A239" s="30" t="inlineStr">
        <is>
          <t>R-01</t>
        </is>
      </c>
      <c r="B239" s="30" t="inlineStr">
        <is>
          <t>Release readiness</t>
        </is>
      </c>
      <c r="C239" s="30" t="inlineStr">
        <is>
          <t>Run supabase/profiles_rls.sql (closes the open profiles table)</t>
        </is>
      </c>
      <c r="D239" s="30" t="inlineStr">
        <is>
          <t>supabase/profiles_rls.sql</t>
        </is>
      </c>
      <c r="E239" s="30" t="inlineStr">
        <is>
          <t>Blocked</t>
        </is>
      </c>
      <c r="F239" s="30" t="inlineStr">
        <is>
          <t>P0</t>
        </is>
      </c>
      <c r="G239" s="30" t="inlineStr">
        <is>
          <t>S</t>
        </is>
      </c>
      <c r="H239" s="30" t="n">
        <v>1</v>
      </c>
      <c r="I239" s="30" t="n"/>
      <c r="J239" s="30" t="inlineStr">
        <is>
          <t>Needs the user's Supabase dashboard login — 13 profile rows were readable with the public key</t>
        </is>
      </c>
      <c r="K239" s="30" t="inlineStr">
        <is>
          <t>2026-10-12</t>
        </is>
      </c>
    </row>
    <row r="240" ht="15" customHeight="1" s="17">
      <c r="A240" s="30" t="inlineStr">
        <is>
          <t>R-02</t>
        </is>
      </c>
      <c r="B240" s="30" t="inlineStr">
        <is>
          <t>Release readiness</t>
        </is>
      </c>
      <c r="C240" s="30" t="inlineStr">
        <is>
          <t>Run core_tables.sql, holdings.sql, tracker_snapshot.sql</t>
        </is>
      </c>
      <c r="D240" s="30" t="inlineStr">
        <is>
          <t>supabase/</t>
        </is>
      </c>
      <c r="E240" s="30" t="inlineStr">
        <is>
          <t>Blocked</t>
        </is>
      </c>
      <c r="F240" s="30" t="inlineStr">
        <is>
          <t>P0</t>
        </is>
      </c>
      <c r="G240" s="30" t="inlineStr">
        <is>
          <t>S</t>
        </is>
      </c>
      <c r="H240" s="30" t="n">
        <v>1</v>
      </c>
      <c r="I240" s="30" t="n"/>
      <c r="J240" s="30" t="inlineStr">
        <is>
          <t>Needs the user's Supabase dashboard login</t>
        </is>
      </c>
      <c r="K240" s="30" t="inlineStr">
        <is>
          <t>2026-10-12</t>
        </is>
      </c>
    </row>
    <row r="241" ht="15" customHeight="1" s="17">
      <c r="A241" s="30" t="inlineStr">
        <is>
          <t>R-03</t>
        </is>
      </c>
      <c r="B241" s="30" t="inlineStr">
        <is>
          <t>Release readiness</t>
        </is>
      </c>
      <c r="C241" s="30" t="inlineStr">
        <is>
          <t>Real sign-in + sync test on the live project</t>
        </is>
      </c>
      <c r="D241" s="30" t="inlineStr">
        <is>
          <t>mobile/</t>
        </is>
      </c>
      <c r="E241" s="30" t="inlineStr">
        <is>
          <t>Blocked</t>
        </is>
      </c>
      <c r="F241" s="30" t="inlineStr">
        <is>
          <t>P0</t>
        </is>
      </c>
      <c r="G241" s="30" t="inlineStr">
        <is>
          <t>S</t>
        </is>
      </c>
      <c r="H241" s="30" t="n">
        <v>1</v>
      </c>
      <c r="I241" s="30" t="n"/>
      <c r="J241" s="30" t="inlineStr">
        <is>
          <t>Needs the SQL above and the user's credentials</t>
        </is>
      </c>
      <c r="K241" s="30" t="inlineStr">
        <is>
          <t>2026-10-12</t>
        </is>
      </c>
    </row>
    <row r="242" ht="23.25" customHeight="1" s="17">
      <c r="A242" s="30" t="inlineStr">
        <is>
          <t>R-04</t>
        </is>
      </c>
      <c r="B242" s="30" t="inlineStr">
        <is>
          <t>Release readiness</t>
        </is>
      </c>
      <c r="C242" s="30" t="inlineStr">
        <is>
          <t>Privacy &amp; consent screen (what is stored, what is shared, switches)</t>
        </is>
      </c>
      <c r="D242" s="30" t="inlineStr">
        <is>
          <t>html/privacy.html, js/finos-privacy.js</t>
        </is>
      </c>
      <c r="E242" s="30" t="inlineStr">
        <is>
          <t>Done</t>
        </is>
      </c>
      <c r="F242" s="30" t="inlineStr">
        <is>
          <t>P0</t>
        </is>
      </c>
      <c r="G242" s="30" t="inlineStr">
        <is>
          <t>M</t>
        </is>
      </c>
      <c r="H242" s="30" t="n">
        <v>2</v>
      </c>
      <c r="I242" s="30" t="n"/>
      <c r="J242" s="30" t="inlineStr">
        <is>
          <t>Built: what is on the phone (live counts), every data flow, never-do list, permissions, export / erase. Guard tests fail if a new host or permission appears. Operator details left blank on purpose.</t>
        </is>
      </c>
      <c r="K242" s="30" t="inlineStr">
        <is>
          <t>2026-10-12</t>
        </is>
      </c>
    </row>
    <row r="243" ht="15" customHeight="1" s="17">
      <c r="A243" s="30" t="inlineStr">
        <is>
          <t>R-05</t>
        </is>
      </c>
      <c r="B243" s="30" t="inlineStr">
        <is>
          <t>Release readiness</t>
        </is>
      </c>
      <c r="C243" s="30" t="inlineStr">
        <is>
          <t>Terms of use screen</t>
        </is>
      </c>
      <c r="D243" s="30" t="inlineStr">
        <is>
          <t>html/terms.html</t>
        </is>
      </c>
      <c r="E243" s="30" t="inlineStr">
        <is>
          <t>Done</t>
        </is>
      </c>
      <c r="F243" s="30" t="inlineStr">
        <is>
          <t>P0</t>
        </is>
      </c>
      <c r="G243" s="30" t="inlineStr">
        <is>
          <t>S</t>
        </is>
      </c>
      <c r="H243" s="30" t="n">
        <v>2</v>
      </c>
      <c r="I243" s="30" t="n"/>
      <c r="J243" s="30" t="inlineStr">
        <is>
          <t>Port of html/terms.html, kept as a draft for legal review; operator/liability/law not invented.</t>
        </is>
      </c>
      <c r="K243" s="30" t="inlineStr">
        <is>
          <t>2026-10-12</t>
        </is>
      </c>
    </row>
    <row r="244" ht="15" customHeight="1" s="17">
      <c r="A244" s="30" t="inlineStr">
        <is>
          <t>R-06</t>
        </is>
      </c>
      <c r="B244" s="30" t="inlineStr">
        <is>
          <t>Release readiness</t>
        </is>
      </c>
      <c r="C244" s="30" t="inlineStr">
        <is>
          <t>Account deletion + data erase</t>
        </is>
      </c>
      <c r="D244" s="30" t="inlineStr">
        <is>
          <t>—</t>
        </is>
      </c>
      <c r="E244" s="30" t="inlineStr">
        <is>
          <t>Partial</t>
        </is>
      </c>
      <c r="F244" s="30" t="inlineStr">
        <is>
          <t>P0</t>
        </is>
      </c>
      <c r="G244" s="30" t="inlineStr">
        <is>
          <t>M</t>
        </is>
      </c>
      <c r="H244" s="30" t="n">
        <v>2</v>
      </c>
      <c r="I244" s="30" t="n"/>
      <c r="J244" s="30" t="inlineStr">
        <is>
          <t>App side built and tested: one erase flow (signs out first, clears memory, notifications, cache files, secure storage, then checks for leftovers), delete the cloud copy, delete account via RPC. supabase/delete_account.sql now also deletes the rows of tables with no cascade (alerts, push_subscriptions, alert_preferences, health_score_history, memory_embeddings, user_behavior, document_ai_log, couple links), guarded by a test and proved in a throwaway PostgreSQL (scripts/release-sql-check.py), but NOT run on the live project. Owner decision open: deleting a couple link also removes the partner's shared goals.</t>
        </is>
      </c>
      <c r="K244" s="30" t="inlineStr">
        <is>
          <t>2026-10-17</t>
        </is>
      </c>
    </row>
    <row r="245" ht="15" customHeight="1" s="17">
      <c r="A245" s="30" t="inlineStr">
        <is>
          <t>R-07</t>
        </is>
      </c>
      <c r="B245" s="30" t="inlineStr">
        <is>
          <t>Release readiness</t>
        </is>
      </c>
      <c r="C245" s="30" t="inlineStr">
        <is>
          <t>Restart Arya backend (new key + sector route)</t>
        </is>
      </c>
      <c r="D245" s="30" t="inlineStr">
        <is>
          <t>arya-ai/</t>
        </is>
      </c>
      <c r="E245" s="30" t="inlineStr">
        <is>
          <t>Blocked</t>
        </is>
      </c>
      <c r="F245" s="30" t="inlineStr">
        <is>
          <t>P0</t>
        </is>
      </c>
      <c r="G245" s="30" t="inlineStr">
        <is>
          <t>S</t>
        </is>
      </c>
      <c r="H245" s="30" t="n">
        <v>1</v>
      </c>
      <c r="I245" s="30" t="n"/>
      <c r="J245" s="30" t="inlineStr">
        <is>
          <t>Old process is still running without the new code</t>
        </is>
      </c>
      <c r="K245" s="30" t="inlineStr">
        <is>
          <t>2026-10-12</t>
        </is>
      </c>
    </row>
    <row r="246" ht="15" customHeight="1" s="17">
      <c r="A246" s="30" t="inlineStr">
        <is>
          <t>R-08</t>
        </is>
      </c>
      <c r="B246" s="30" t="inlineStr">
        <is>
          <t>Release readiness</t>
        </is>
      </c>
      <c r="C246" s="30" t="inlineStr">
        <is>
          <t>EAS device build (iOS + Android)</t>
        </is>
      </c>
      <c r="D246" s="30" t="inlineStr">
        <is>
          <t>mobile/eas.json</t>
        </is>
      </c>
      <c r="E246" s="30" t="inlineStr">
        <is>
          <t>Blocked</t>
        </is>
      </c>
      <c r="F246" s="30" t="inlineStr">
        <is>
          <t>P0</t>
        </is>
      </c>
      <c r="G246" s="30" t="inlineStr">
        <is>
          <t>M</t>
        </is>
      </c>
      <c r="H246" s="30" t="n"/>
      <c r="I246" s="30" t="n"/>
      <c r="J246" s="30" t="inlineStr">
        <is>
          <t>Needs Apple/Google credentials</t>
        </is>
      </c>
      <c r="K246" s="30" t="inlineStr">
        <is>
          <t>2026-10-12</t>
        </is>
      </c>
    </row>
    <row r="247" ht="15" customHeight="1" s="17">
      <c r="A247" s="30" t="inlineStr">
        <is>
          <t>R-09</t>
        </is>
      </c>
      <c r="B247" s="30" t="inlineStr">
        <is>
          <t>Release readiness</t>
        </is>
      </c>
      <c r="C247" s="30" t="inlineStr">
        <is>
          <t>Real-device test of file picker, share, keyboard, safe areas</t>
        </is>
      </c>
      <c r="D247" s="30" t="inlineStr">
        <is>
          <t>mobile/</t>
        </is>
      </c>
      <c r="E247" s="30" t="inlineStr">
        <is>
          <t>Pending</t>
        </is>
      </c>
      <c r="F247" s="30" t="inlineStr">
        <is>
          <t>P0</t>
        </is>
      </c>
      <c r="G247" s="30" t="inlineStr">
        <is>
          <t>M</t>
        </is>
      </c>
      <c r="H247" s="30" t="n"/>
      <c r="I247" s="30" t="n"/>
      <c r="J247" s="30" t="inlineStr">
        <is>
          <t>Everything so far ran in the web preview. docs/DEVICE_TEST_CHECKLIST.md lists what needs a phone (sections A-I); no row has been run.</t>
        </is>
      </c>
      <c r="K247" s="30" t="inlineStr">
        <is>
          <t>2026-10-17</t>
        </is>
      </c>
    </row>
    <row r="248" ht="15" customHeight="1" s="17">
      <c r="A248" s="30" t="inlineStr">
        <is>
          <t>R-10</t>
        </is>
      </c>
      <c r="B248" s="30" t="inlineStr">
        <is>
          <t>Release readiness</t>
        </is>
      </c>
      <c r="C248" s="30" t="inlineStr">
        <is>
          <t>Push / local notification permission flow</t>
        </is>
      </c>
      <c r="D248" s="30" t="inlineStr">
        <is>
          <t>—</t>
        </is>
      </c>
      <c r="E248" s="30" t="inlineStr">
        <is>
          <t>Partial</t>
        </is>
      </c>
      <c r="F248" s="30" t="inlineStr">
        <is>
          <t>P1</t>
        </is>
      </c>
      <c r="G248" s="30" t="inlineStr">
        <is>
          <t>M</t>
        </is>
      </c>
      <c r="H248" s="30" t="n"/>
      <c r="I248" s="30" t="inlineStr">
        <is>
          <t>lib/reminders*.ts, Settings → Reminders</t>
        </is>
      </c>
      <c r="J248" s="30" t="inlineStr">
        <is>
          <t>Explain-first flow built for reminders and the biometric switch (the OS prompt appears only after the person agrees on our screen); planner unit-tested; denial path shows a plain message and the switch does not claim 'on'. NOT verified on a device (needs R-08/R-09; checklist rows D-20..D-24).</t>
        </is>
      </c>
      <c r="K248" s="30" t="inlineStr">
        <is>
          <t>2026-10-17</t>
        </is>
      </c>
    </row>
    <row r="249" ht="15" customHeight="1" s="17">
      <c r="A249" s="30" t="inlineStr">
        <is>
          <t>R-11</t>
        </is>
      </c>
      <c r="B249" s="30" t="inlineStr">
        <is>
          <t>Release readiness</t>
        </is>
      </c>
      <c r="C249" s="30" t="inlineStr">
        <is>
          <t>App icon, splash, screenshots, store listing</t>
        </is>
      </c>
      <c r="D249" s="30" t="inlineStr">
        <is>
          <t>mobile/assets</t>
        </is>
      </c>
      <c r="E249" s="30" t="inlineStr">
        <is>
          <t>Partial</t>
        </is>
      </c>
      <c r="F249" s="30" t="inlineStr">
        <is>
          <t>P1</t>
        </is>
      </c>
      <c r="G249" s="30" t="inlineStr">
        <is>
          <t>M</t>
        </is>
      </c>
      <c r="H249" s="30" t="n"/>
      <c r="I249" s="30" t="n"/>
      <c r="J249" s="30" t="inlineStr">
        <is>
          <t>Built: icon, adaptive icon (with monochrome layer), splash, notification icon, Play 512 icon and feature graphic (mobile/scripts/release-assets.py, reproducible, tested for size, alpha and safe zones), 28 store screenshots from the web preview with a synthetic profile (not device captures, taken before the Oct 17 Budget / Goals clipping fix), and listing text in docs/STORE_LISTING.md. Not done: legal operator and URLs, store accounts and forms, screenshots from a device (all need the owner; PENDING U6/U7).</t>
        </is>
      </c>
      <c r="K249" s="30" t="inlineStr">
        <is>
          <t>2026-10-17</t>
        </is>
      </c>
    </row>
    <row r="250" ht="15" customHeight="1" s="17">
      <c r="A250" s="30" t="inlineStr">
        <is>
          <t>R-12</t>
        </is>
      </c>
      <c r="B250" s="30" t="inlineStr">
        <is>
          <t>Release readiness</t>
        </is>
      </c>
      <c r="C250" s="30" t="inlineStr">
        <is>
          <t>Accessibility pass (labels, contrast, large text)</t>
        </is>
      </c>
      <c r="D250" s="30" t="inlineStr">
        <is>
          <t>—</t>
        </is>
      </c>
      <c r="E250" s="30" t="inlineStr">
        <is>
          <t>Done</t>
        </is>
      </c>
      <c r="F250" s="30" t="inlineStr">
        <is>
          <t>P1</t>
        </is>
      </c>
      <c r="G250" s="30" t="inlineStr">
        <is>
          <t>M</t>
        </is>
      </c>
      <c r="H250" s="30" t="n"/>
      <c r="I250" s="30" t="inlineStr">
        <is>
          <t>scripts/theme-audit.py, __tests__/a11y.test.mts</t>
        </is>
      </c>
      <c r="J250" s="30" t="inlineStr">
        <is>
          <t>Roles/labels guard, WCAG AA contrast in dark and light (audited), text scales to 200%. Not yet tried with TalkBack / VoiceOver on a device</t>
        </is>
      </c>
      <c r="K250" s="30" t="inlineStr">
        <is>
          <t>2026-10-14</t>
        </is>
      </c>
    </row>
    <row r="251" ht="15" customHeight="1" s="17">
      <c r="A251" s="30" t="inlineStr">
        <is>
          <t>R-13</t>
        </is>
      </c>
      <c r="B251" s="30" t="inlineStr">
        <is>
          <t>Release readiness</t>
        </is>
      </c>
      <c r="C251" s="30" t="inlineStr">
        <is>
          <t>Crash reporting + opt-in analytics</t>
        </is>
      </c>
      <c r="D251" s="30" t="inlineStr">
        <is>
          <t>—</t>
        </is>
      </c>
      <c r="E251" s="30" t="inlineStr">
        <is>
          <t>Partial</t>
        </is>
      </c>
      <c r="F251" s="30" t="inlineStr">
        <is>
          <t>P2</t>
        </is>
      </c>
      <c r="G251" s="30" t="inlineStr">
        <is>
          <t>M</t>
        </is>
      </c>
      <c r="H251" s="30" t="n"/>
      <c r="I251" s="30" t="n"/>
      <c r="J251" s="30" t="inlineStr">
        <is>
          <t>On-device redacted crash notes, error boundary, Diagnostics screen and opt-in screen counts (default off); nothing is sent automatically and there is no crash service. Fatal native crashes may kill the process before a note is written. Play Android vitals and App Store Connect remain the only automatic crash signals. Not run on a device.</t>
        </is>
      </c>
      <c r="K251" s="30" t="inlineStr">
        <is>
          <t>2026-10-17</t>
        </is>
      </c>
    </row>
    <row r="252" ht="15" customHeight="1" s="17">
      <c r="A252" s="30" t="inlineStr">
        <is>
          <t>R-14</t>
        </is>
      </c>
      <c r="B252" s="30" t="inlineStr">
        <is>
          <t>Release readiness</t>
        </is>
      </c>
      <c r="C252" s="30" t="inlineStr">
        <is>
          <t>Offline behaviour for markets and chat</t>
        </is>
      </c>
      <c r="D252" s="30" t="inlineStr">
        <is>
          <t>—</t>
        </is>
      </c>
      <c r="E252" s="30" t="inlineStr">
        <is>
          <t>Done</t>
        </is>
      </c>
      <c r="F252" s="30" t="inlineStr">
        <is>
          <t>P2</t>
        </is>
      </c>
      <c r="G252" s="30" t="inlineStr">
        <is>
          <t>M</t>
        </is>
      </c>
      <c r="H252" s="30" t="n"/>
      <c r="I252" s="30" t="inlineStr">
        <is>
          <t>lib/aryaOffline.ts, markets banner</t>
        </is>
      </c>
      <c r="J252" s="30" t="inlineStr">
        <is>
          <t>Markets shows "Updated offline" and a banner; Arya replies in plain language with links to what works offline; watchlist and holdings keep the last price, marked old</t>
        </is>
      </c>
      <c r="K252" s="30" t="inlineStr">
        <is>
          <t>2026-10-14</t>
        </is>
      </c>
    </row>
    <row r="253" ht="23.25" customHeight="1" s="17">
      <c r="A253" s="30" t="inlineStr">
        <is>
          <t>R-15</t>
        </is>
      </c>
      <c r="B253" s="30" t="inlineStr">
        <is>
          <t>Release readiness</t>
        </is>
      </c>
      <c r="C253" s="30" t="inlineStr">
        <is>
          <t>Test coverage for React screens</t>
        </is>
      </c>
      <c r="D253" s="30" t="inlineStr">
        <is>
          <t>mobile/__tests__/</t>
        </is>
      </c>
      <c r="E253" s="30" t="inlineStr">
        <is>
          <t>Done</t>
        </is>
      </c>
      <c r="F253" s="30" t="inlineStr">
        <is>
          <t>P2</t>
        </is>
      </c>
      <c r="G253" s="30" t="inlineStr">
        <is>
          <t>L</t>
        </is>
      </c>
      <c r="H253" s="30" t="n"/>
      <c r="I253" s="30" t="inlineStr">
        <is>
          <t>mobile/scripts/smoke-routes.py</t>
        </is>
      </c>
      <c r="J253" s="30" t="inlineStr">
        <is>
          <t>Every screen opened empty and populated, dark and light; fails on errors / NaN / empty. Unit tests cover the logic (331)</t>
        </is>
      </c>
      <c r="K253" s="30" t="inlineStr">
        <is>
          <t>2026-10-14</t>
        </is>
      </c>
    </row>
    <row r="254" ht="15" customHeight="1" s="17">
      <c r="A254" s="30" t="inlineStr">
        <is>
          <t>R-16</t>
        </is>
      </c>
      <c r="B254" s="30" t="inlineStr">
        <is>
          <t>Release readiness</t>
        </is>
      </c>
      <c r="C254" s="30" t="inlineStr">
        <is>
          <t>Run supabase/delete_account.sql (enables 'Delete my account')</t>
        </is>
      </c>
      <c r="D254" s="30" t="inlineStr">
        <is>
          <t>supabase/delete_account.sql</t>
        </is>
      </c>
      <c r="E254" s="30" t="inlineStr">
        <is>
          <t>Blocked</t>
        </is>
      </c>
      <c r="F254" s="30" t="inlineStr">
        <is>
          <t>P0</t>
        </is>
      </c>
      <c r="G254" s="30" t="inlineStr">
        <is>
          <t>S</t>
        </is>
      </c>
      <c r="H254" s="30" t="n">
        <v>1</v>
      </c>
      <c r="I254" s="30" t="n"/>
      <c r="J254" s="30" t="inlineStr">
        <is>
          <t>Needs the user's Supabase dashboard login. The file has been rewritten (see R-06) and passes its guard test; it has not been run on any project.</t>
        </is>
      </c>
      <c r="K254" s="30" t="inlineStr">
        <is>
          <t>2026-10-17</t>
        </is>
      </c>
    </row>
    <row r="255" ht="23.25" customHeight="1" s="17">
      <c r="A255" s="30" t="inlineStr">
        <is>
          <t>R-17</t>
        </is>
      </c>
      <c r="B255" s="30" t="inlineStr">
        <is>
          <t>Release readiness</t>
        </is>
      </c>
      <c r="C255" s="30" t="inlineStr">
        <is>
          <t>Declare only the permissions the app uses (no mic / camera / speech)</t>
        </is>
      </c>
      <c r="D255" s="30" t="inlineStr">
        <is>
          <t>mobile/app.json</t>
        </is>
      </c>
      <c r="E255" s="30" t="inlineStr">
        <is>
          <t>Done</t>
        </is>
      </c>
      <c r="F255" s="30" t="inlineStr">
        <is>
          <t>P0</t>
        </is>
      </c>
      <c r="G255" s="30" t="inlineStr">
        <is>
          <t>S</t>
        </is>
      </c>
      <c r="H255" s="30" t="n"/>
      <c r="I255" s="30" t="n"/>
      <c r="J255" s="30" t="inlineStr">
        <is>
          <t>Removed unused microphone, camera and speech permissions and the expo-av plugin; a test now fails if they return</t>
        </is>
      </c>
      <c r="K255" s="30" t="inlineStr">
        <is>
          <t>2026-10-17</t>
        </is>
      </c>
    </row>
  </sheetData>
  <autoFilter ref="A1:K255"/>
  <conditionalFormatting sqref="E2:E253">
    <cfRule type="cellIs" rank="0" priority="2" equalAverage="0" operator="equal" aboveAverage="0" dxfId="8" text="" percent="0" bottom="0">
      <formula>"Done"</formula>
    </cfRule>
    <cfRule type="cellIs" rank="0" priority="3" equalAverage="0" operator="equal" aboveAverage="0" dxfId="9" text="" percent="0" bottom="0">
      <formula>"Partial"</formula>
    </cfRule>
    <cfRule type="cellIs" rank="0" priority="4" equalAverage="0" operator="equal" aboveAverage="0" dxfId="10" text="" percent="0" bottom="0">
      <formula>"Pending"</formula>
    </cfRule>
    <cfRule type="cellIs" rank="0" priority="5" equalAverage="0" operator="equal" aboveAverage="0" dxfId="11" text="" percent="0" bottom="0">
      <formula>"Blocked"</formula>
    </cfRule>
    <cfRule type="cellIs" rank="0" priority="6" equalAverage="0" operator="equal" aboveAverage="0" dxfId="12" text="" percent="0" bottom="0">
      <formula>"Not planned"</formula>
    </cfRule>
  </conditionalFormatting>
  <dataValidations count="3">
    <dataValidation sqref="E2:E255" showDropDown="0" showInputMessage="0" showErrorMessage="0" allowBlank="0" type="list" errorStyle="stop" operator="between">
      <formula1>"Done,Partial,Pending,Blocked,Not planned"</formula1>
      <formula2>0</formula2>
    </dataValidation>
    <dataValidation sqref="F2:F255" showDropDown="0" showInputMessage="0" showErrorMessage="0" allowBlank="0" type="list" errorStyle="stop" operator="between">
      <formula1>"P0,P1,P2,P3"</formula1>
      <formula2>0</formula2>
    </dataValidation>
    <dataValidation sqref="G2:G255" showDropDown="0" showInputMessage="0" showErrorMessage="0" allowBlank="0" type="list" errorStyle="stop" operator="between">
      <formula1>"S,M,L"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8" customWidth="1" style="16" min="1" max="2"/>
    <col width="54" customWidth="1" style="16" min="3" max="3"/>
    <col width="26" customWidth="1" style="16" min="4" max="4"/>
    <col width="9" customWidth="1" style="16" min="5" max="5"/>
    <col width="8" customWidth="1" style="16" min="6" max="6"/>
    <col width="13" customWidth="1" style="16" min="7" max="7"/>
    <col width="60" customWidth="1" style="16" min="8" max="8"/>
  </cols>
  <sheetData>
    <row r="1" ht="15" customHeight="1" s="17">
      <c r="A1" s="31" t="inlineStr">
        <is>
          <t>Order</t>
        </is>
      </c>
      <c r="B1" s="31" t="inlineStr">
        <is>
          <t>ID</t>
        </is>
      </c>
      <c r="C1" s="31" t="inlineStr">
        <is>
          <t>Feature</t>
        </is>
      </c>
      <c r="D1" s="31" t="inlineStr">
        <is>
          <t>Area</t>
        </is>
      </c>
      <c r="E1" s="31" t="inlineStr">
        <is>
          <t>Priority</t>
        </is>
      </c>
      <c r="F1" s="31" t="inlineStr">
        <is>
          <t>Effort</t>
        </is>
      </c>
      <c r="G1" s="31" t="inlineStr">
        <is>
          <t>Phone status</t>
        </is>
      </c>
      <c r="H1" s="31" t="inlineStr">
        <is>
          <t>Notes</t>
        </is>
      </c>
    </row>
    <row r="2" ht="23.25" customHeight="1" s="17">
      <c r="A2" s="30" t="n">
        <v>1</v>
      </c>
      <c r="B2" s="30" t="inlineStr">
        <is>
          <t>R-01</t>
        </is>
      </c>
      <c r="C2" s="30">
        <f>INDEX('Parity Tracker'!$C$2:$C$255,MATCH($B2,'Parity Tracker'!$A$2:$A$255,0))</f>
        <v/>
      </c>
      <c r="D2" s="30">
        <f>INDEX('Parity Tracker'!$B$2:$B$255,MATCH($B2,'Parity Tracker'!$A$2:$A$255,0))</f>
        <v/>
      </c>
      <c r="E2" s="30">
        <f>INDEX('Parity Tracker'!$F$2:$F$255,MATCH($B2,'Parity Tracker'!$A$2:$A$255,0))</f>
        <v/>
      </c>
      <c r="F2" s="30">
        <f>INDEX('Parity Tracker'!$G$2:$G$255,MATCH($B2,'Parity Tracker'!$A$2:$A$255,0))</f>
        <v/>
      </c>
      <c r="G2" s="30">
        <f>INDEX('Parity Tracker'!$E$2:$E$255,MATCH($B2,'Parity Tracker'!$A$2:$A$255,0))</f>
        <v/>
      </c>
      <c r="H2" s="30">
        <f>INDEX('Parity Tracker'!$J$2:$J$255,MATCH($B2,'Parity Tracker'!$A$2:$A$255,0))</f>
        <v/>
      </c>
    </row>
    <row r="3" ht="15" customHeight="1" s="17">
      <c r="A3" s="30" t="n">
        <v>1</v>
      </c>
      <c r="B3" s="30" t="inlineStr">
        <is>
          <t>R-02</t>
        </is>
      </c>
      <c r="C3" s="30">
        <f>INDEX('Parity Tracker'!$C$2:$C$255,MATCH($B3,'Parity Tracker'!$A$2:$A$255,0))</f>
        <v/>
      </c>
      <c r="D3" s="30">
        <f>INDEX('Parity Tracker'!$B$2:$B$255,MATCH($B3,'Parity Tracker'!$A$2:$A$255,0))</f>
        <v/>
      </c>
      <c r="E3" s="30">
        <f>INDEX('Parity Tracker'!$F$2:$F$255,MATCH($B3,'Parity Tracker'!$A$2:$A$255,0))</f>
        <v/>
      </c>
      <c r="F3" s="30">
        <f>INDEX('Parity Tracker'!$G$2:$G$255,MATCH($B3,'Parity Tracker'!$A$2:$A$255,0))</f>
        <v/>
      </c>
      <c r="G3" s="30">
        <f>INDEX('Parity Tracker'!$E$2:$E$255,MATCH($B3,'Parity Tracker'!$A$2:$A$255,0))</f>
        <v/>
      </c>
      <c r="H3" s="30">
        <f>INDEX('Parity Tracker'!$J$2:$J$255,MATCH($B3,'Parity Tracker'!$A$2:$A$255,0))</f>
        <v/>
      </c>
    </row>
    <row r="4" ht="15" customHeight="1" s="17">
      <c r="A4" s="30" t="n">
        <v>1</v>
      </c>
      <c r="B4" s="30" t="inlineStr">
        <is>
          <t>R-03</t>
        </is>
      </c>
      <c r="C4" s="30">
        <f>INDEX('Parity Tracker'!$C$2:$C$255,MATCH($B4,'Parity Tracker'!$A$2:$A$255,0))</f>
        <v/>
      </c>
      <c r="D4" s="30">
        <f>INDEX('Parity Tracker'!$B$2:$B$255,MATCH($B4,'Parity Tracker'!$A$2:$A$255,0))</f>
        <v/>
      </c>
      <c r="E4" s="30">
        <f>INDEX('Parity Tracker'!$F$2:$F$255,MATCH($B4,'Parity Tracker'!$A$2:$A$255,0))</f>
        <v/>
      </c>
      <c r="F4" s="30">
        <f>INDEX('Parity Tracker'!$G$2:$G$255,MATCH($B4,'Parity Tracker'!$A$2:$A$255,0))</f>
        <v/>
      </c>
      <c r="G4" s="30">
        <f>INDEX('Parity Tracker'!$E$2:$E$255,MATCH($B4,'Parity Tracker'!$A$2:$A$255,0))</f>
        <v/>
      </c>
      <c r="H4" s="30">
        <f>INDEX('Parity Tracker'!$J$2:$J$255,MATCH($B4,'Parity Tracker'!$A$2:$A$255,0))</f>
        <v/>
      </c>
    </row>
    <row r="5" ht="15" customHeight="1" s="17">
      <c r="A5" s="30" t="n">
        <v>1</v>
      </c>
      <c r="B5" s="30" t="inlineStr">
        <is>
          <t>R-07</t>
        </is>
      </c>
      <c r="C5" s="30">
        <f>INDEX('Parity Tracker'!$C$2:$C$255,MATCH($B5,'Parity Tracker'!$A$2:$A$255,0))</f>
        <v/>
      </c>
      <c r="D5" s="30">
        <f>INDEX('Parity Tracker'!$B$2:$B$255,MATCH($B5,'Parity Tracker'!$A$2:$A$255,0))</f>
        <v/>
      </c>
      <c r="E5" s="30">
        <f>INDEX('Parity Tracker'!$F$2:$F$255,MATCH($B5,'Parity Tracker'!$A$2:$A$255,0))</f>
        <v/>
      </c>
      <c r="F5" s="30">
        <f>INDEX('Parity Tracker'!$G$2:$G$255,MATCH($B5,'Parity Tracker'!$A$2:$A$255,0))</f>
        <v/>
      </c>
      <c r="G5" s="30">
        <f>INDEX('Parity Tracker'!$E$2:$E$255,MATCH($B5,'Parity Tracker'!$A$2:$A$255,0))</f>
        <v/>
      </c>
      <c r="H5" s="30">
        <f>INDEX('Parity Tracker'!$J$2:$J$255,MATCH($B5,'Parity Tracker'!$A$2:$A$255,0))</f>
        <v/>
      </c>
    </row>
    <row r="6" ht="23.25" customHeight="1" s="17">
      <c r="A6" s="30" t="n">
        <v>2</v>
      </c>
      <c r="B6" s="30" t="inlineStr">
        <is>
          <t>R-04</t>
        </is>
      </c>
      <c r="C6" s="30">
        <f>INDEX('Parity Tracker'!$C$2:$C$255,MATCH($B6,'Parity Tracker'!$A$2:$A$255,0))</f>
        <v/>
      </c>
      <c r="D6" s="30">
        <f>INDEX('Parity Tracker'!$B$2:$B$255,MATCH($B6,'Parity Tracker'!$A$2:$A$255,0))</f>
        <v/>
      </c>
      <c r="E6" s="30">
        <f>INDEX('Parity Tracker'!$F$2:$F$255,MATCH($B6,'Parity Tracker'!$A$2:$A$255,0))</f>
        <v/>
      </c>
      <c r="F6" s="30">
        <f>INDEX('Parity Tracker'!$G$2:$G$255,MATCH($B6,'Parity Tracker'!$A$2:$A$255,0))</f>
        <v/>
      </c>
      <c r="G6" s="30">
        <f>INDEX('Parity Tracker'!$E$2:$E$255,MATCH($B6,'Parity Tracker'!$A$2:$A$255,0))</f>
        <v/>
      </c>
      <c r="H6" s="30">
        <f>INDEX('Parity Tracker'!$J$2:$J$255,MATCH($B6,'Parity Tracker'!$A$2:$A$255,0))</f>
        <v/>
      </c>
    </row>
    <row r="7" ht="15" customHeight="1" s="17">
      <c r="A7" s="30" t="n">
        <v>2</v>
      </c>
      <c r="B7" s="30" t="inlineStr">
        <is>
          <t>R-05</t>
        </is>
      </c>
      <c r="C7" s="30">
        <f>INDEX('Parity Tracker'!$C$2:$C$255,MATCH($B7,'Parity Tracker'!$A$2:$A$255,0))</f>
        <v/>
      </c>
      <c r="D7" s="30">
        <f>INDEX('Parity Tracker'!$B$2:$B$255,MATCH($B7,'Parity Tracker'!$A$2:$A$255,0))</f>
        <v/>
      </c>
      <c r="E7" s="30">
        <f>INDEX('Parity Tracker'!$F$2:$F$255,MATCH($B7,'Parity Tracker'!$A$2:$A$255,0))</f>
        <v/>
      </c>
      <c r="F7" s="30">
        <f>INDEX('Parity Tracker'!$G$2:$G$255,MATCH($B7,'Parity Tracker'!$A$2:$A$255,0))</f>
        <v/>
      </c>
      <c r="G7" s="30">
        <f>INDEX('Parity Tracker'!$E$2:$E$255,MATCH($B7,'Parity Tracker'!$A$2:$A$255,0))</f>
        <v/>
      </c>
      <c r="H7" s="30">
        <f>INDEX('Parity Tracker'!$J$2:$J$255,MATCH($B7,'Parity Tracker'!$A$2:$A$255,0))</f>
        <v/>
      </c>
    </row>
    <row r="8" ht="15" customHeight="1" s="17">
      <c r="A8" s="30" t="n">
        <v>2</v>
      </c>
      <c r="B8" s="30" t="inlineStr">
        <is>
          <t>R-06</t>
        </is>
      </c>
      <c r="C8" s="30">
        <f>INDEX('Parity Tracker'!$C$2:$C$255,MATCH($B8,'Parity Tracker'!$A$2:$A$255,0))</f>
        <v/>
      </c>
      <c r="D8" s="30">
        <f>INDEX('Parity Tracker'!$B$2:$B$255,MATCH($B8,'Parity Tracker'!$A$2:$A$255,0))</f>
        <v/>
      </c>
      <c r="E8" s="30">
        <f>INDEX('Parity Tracker'!$F$2:$F$255,MATCH($B8,'Parity Tracker'!$A$2:$A$255,0))</f>
        <v/>
      </c>
      <c r="F8" s="30">
        <f>INDEX('Parity Tracker'!$G$2:$G$255,MATCH($B8,'Parity Tracker'!$A$2:$A$255,0))</f>
        <v/>
      </c>
      <c r="G8" s="30">
        <f>INDEX('Parity Tracker'!$E$2:$E$255,MATCH($B8,'Parity Tracker'!$A$2:$A$255,0))</f>
        <v/>
      </c>
      <c r="H8" s="30">
        <f>INDEX('Parity Tracker'!$J$2:$J$255,MATCH($B8,'Parity Tracker'!$A$2:$A$255,0))</f>
        <v/>
      </c>
    </row>
    <row r="9" ht="15" customHeight="1" s="17">
      <c r="A9" s="30" t="n">
        <v>3</v>
      </c>
      <c r="B9" s="30" t="inlineStr">
        <is>
          <t>T-26</t>
        </is>
      </c>
      <c r="C9" s="30">
        <f>INDEX('Parity Tracker'!$C$2:$C$255,MATCH($B9,'Parity Tracker'!$A$2:$A$255,0))</f>
        <v/>
      </c>
      <c r="D9" s="30">
        <f>INDEX('Parity Tracker'!$B$2:$B$255,MATCH($B9,'Parity Tracker'!$A$2:$A$255,0))</f>
        <v/>
      </c>
      <c r="E9" s="30">
        <f>INDEX('Parity Tracker'!$F$2:$F$255,MATCH($B9,'Parity Tracker'!$A$2:$A$255,0))</f>
        <v/>
      </c>
      <c r="F9" s="30">
        <f>INDEX('Parity Tracker'!$G$2:$G$255,MATCH($B9,'Parity Tracker'!$A$2:$A$255,0))</f>
        <v/>
      </c>
      <c r="G9" s="30">
        <f>INDEX('Parity Tracker'!$E$2:$E$255,MATCH($B9,'Parity Tracker'!$A$2:$A$255,0))</f>
        <v/>
      </c>
      <c r="H9" s="30">
        <f>INDEX('Parity Tracker'!$J$2:$J$255,MATCH($B9,'Parity Tracker'!$A$2:$A$255,0))</f>
        <v/>
      </c>
    </row>
    <row r="10" ht="15" customHeight="1" s="17">
      <c r="A10" s="30" t="n">
        <v>4</v>
      </c>
      <c r="B10" s="30" t="inlineStr">
        <is>
          <t>T-31</t>
        </is>
      </c>
      <c r="C10" s="30">
        <f>INDEX('Parity Tracker'!$C$2:$C$255,MATCH($B10,'Parity Tracker'!$A$2:$A$255,0))</f>
        <v/>
      </c>
      <c r="D10" s="30">
        <f>INDEX('Parity Tracker'!$B$2:$B$255,MATCH($B10,'Parity Tracker'!$A$2:$A$255,0))</f>
        <v/>
      </c>
      <c r="E10" s="30">
        <f>INDEX('Parity Tracker'!$F$2:$F$255,MATCH($B10,'Parity Tracker'!$A$2:$A$255,0))</f>
        <v/>
      </c>
      <c r="F10" s="30">
        <f>INDEX('Parity Tracker'!$G$2:$G$255,MATCH($B10,'Parity Tracker'!$A$2:$A$255,0))</f>
        <v/>
      </c>
      <c r="G10" s="30">
        <f>INDEX('Parity Tracker'!$E$2:$E$255,MATCH($B10,'Parity Tracker'!$A$2:$A$255,0))</f>
        <v/>
      </c>
      <c r="H10" s="30">
        <f>INDEX('Parity Tracker'!$J$2:$J$255,MATCH($B10,'Parity Tracker'!$A$2:$A$255,0))</f>
        <v/>
      </c>
    </row>
    <row r="11" ht="15" customHeight="1" s="17">
      <c r="A11" s="30" t="n">
        <v>5</v>
      </c>
      <c r="B11" s="30" t="inlineStr">
        <is>
          <t>T-27</t>
        </is>
      </c>
      <c r="C11" s="30">
        <f>INDEX('Parity Tracker'!$C$2:$C$255,MATCH($B11,'Parity Tracker'!$A$2:$A$255,0))</f>
        <v/>
      </c>
      <c r="D11" s="30">
        <f>INDEX('Parity Tracker'!$B$2:$B$255,MATCH($B11,'Parity Tracker'!$A$2:$A$255,0))</f>
        <v/>
      </c>
      <c r="E11" s="30">
        <f>INDEX('Parity Tracker'!$F$2:$F$255,MATCH($B11,'Parity Tracker'!$A$2:$A$255,0))</f>
        <v/>
      </c>
      <c r="F11" s="30">
        <f>INDEX('Parity Tracker'!$G$2:$G$255,MATCH($B11,'Parity Tracker'!$A$2:$A$255,0))</f>
        <v/>
      </c>
      <c r="G11" s="30">
        <f>INDEX('Parity Tracker'!$E$2:$E$255,MATCH($B11,'Parity Tracker'!$A$2:$A$255,0))</f>
        <v/>
      </c>
      <c r="H11" s="30">
        <f>INDEX('Parity Tracker'!$J$2:$J$255,MATCH($B11,'Parity Tracker'!$A$2:$A$255,0))</f>
        <v/>
      </c>
    </row>
    <row r="12" ht="15" customHeight="1" s="17">
      <c r="A12" s="30" t="n">
        <v>6</v>
      </c>
      <c r="B12" s="30" t="inlineStr">
        <is>
          <t>T-28</t>
        </is>
      </c>
      <c r="C12" s="30">
        <f>INDEX('Parity Tracker'!$C$2:$C$255,MATCH($B12,'Parity Tracker'!$A$2:$A$255,0))</f>
        <v/>
      </c>
      <c r="D12" s="30">
        <f>INDEX('Parity Tracker'!$B$2:$B$255,MATCH($B12,'Parity Tracker'!$A$2:$A$255,0))</f>
        <v/>
      </c>
      <c r="E12" s="30">
        <f>INDEX('Parity Tracker'!$F$2:$F$255,MATCH($B12,'Parity Tracker'!$A$2:$A$255,0))</f>
        <v/>
      </c>
      <c r="F12" s="30">
        <f>INDEX('Parity Tracker'!$G$2:$G$255,MATCH($B12,'Parity Tracker'!$A$2:$A$255,0))</f>
        <v/>
      </c>
      <c r="G12" s="30">
        <f>INDEX('Parity Tracker'!$E$2:$E$255,MATCH($B12,'Parity Tracker'!$A$2:$A$255,0))</f>
        <v/>
      </c>
      <c r="H12" s="30">
        <f>INDEX('Parity Tracker'!$J$2:$J$255,MATCH($B12,'Parity Tracker'!$A$2:$A$255,0))</f>
        <v/>
      </c>
    </row>
    <row r="13" ht="15" customHeight="1" s="17">
      <c r="A13" s="30" t="n">
        <v>7</v>
      </c>
      <c r="B13" s="30" t="inlineStr">
        <is>
          <t>T-06</t>
        </is>
      </c>
      <c r="C13" s="30">
        <f>INDEX('Parity Tracker'!$C$2:$C$255,MATCH($B13,'Parity Tracker'!$A$2:$A$255,0))</f>
        <v/>
      </c>
      <c r="D13" s="30">
        <f>INDEX('Parity Tracker'!$B$2:$B$255,MATCH($B13,'Parity Tracker'!$A$2:$A$255,0))</f>
        <v/>
      </c>
      <c r="E13" s="30">
        <f>INDEX('Parity Tracker'!$F$2:$F$255,MATCH($B13,'Parity Tracker'!$A$2:$A$255,0))</f>
        <v/>
      </c>
      <c r="F13" s="30">
        <f>INDEX('Parity Tracker'!$G$2:$G$255,MATCH($B13,'Parity Tracker'!$A$2:$A$255,0))</f>
        <v/>
      </c>
      <c r="G13" s="30">
        <f>INDEX('Parity Tracker'!$E$2:$E$255,MATCH($B13,'Parity Tracker'!$A$2:$A$255,0))</f>
        <v/>
      </c>
      <c r="H13" s="30">
        <f>INDEX('Parity Tracker'!$J$2:$J$255,MATCH($B13,'Parity Tracker'!$A$2:$A$255,0))</f>
        <v/>
      </c>
    </row>
    <row r="14" ht="15" customHeight="1" s="17">
      <c r="A14" s="30" t="n">
        <v>8</v>
      </c>
      <c r="B14" s="30" t="inlineStr">
        <is>
          <t>T-14</t>
        </is>
      </c>
      <c r="C14" s="30">
        <f>INDEX('Parity Tracker'!$C$2:$C$255,MATCH($B14,'Parity Tracker'!$A$2:$A$255,0))</f>
        <v/>
      </c>
      <c r="D14" s="30">
        <f>INDEX('Parity Tracker'!$B$2:$B$255,MATCH($B14,'Parity Tracker'!$A$2:$A$255,0))</f>
        <v/>
      </c>
      <c r="E14" s="30">
        <f>INDEX('Parity Tracker'!$F$2:$F$255,MATCH($B14,'Parity Tracker'!$A$2:$A$255,0))</f>
        <v/>
      </c>
      <c r="F14" s="30">
        <f>INDEX('Parity Tracker'!$G$2:$G$255,MATCH($B14,'Parity Tracker'!$A$2:$A$255,0))</f>
        <v/>
      </c>
      <c r="G14" s="30">
        <f>INDEX('Parity Tracker'!$E$2:$E$255,MATCH($B14,'Parity Tracker'!$A$2:$A$255,0))</f>
        <v/>
      </c>
      <c r="H14" s="30">
        <f>INDEX('Parity Tracker'!$J$2:$J$255,MATCH($B14,'Parity Tracker'!$A$2:$A$255,0))</f>
        <v/>
      </c>
    </row>
    <row r="15" ht="15" customHeight="1" s="17">
      <c r="A15" s="30" t="n">
        <v>9</v>
      </c>
      <c r="B15" s="30" t="inlineStr">
        <is>
          <t>T-09</t>
        </is>
      </c>
      <c r="C15" s="30">
        <f>INDEX('Parity Tracker'!$C$2:$C$255,MATCH($B15,'Parity Tracker'!$A$2:$A$255,0))</f>
        <v/>
      </c>
      <c r="D15" s="30">
        <f>INDEX('Parity Tracker'!$B$2:$B$255,MATCH($B15,'Parity Tracker'!$A$2:$A$255,0))</f>
        <v/>
      </c>
      <c r="E15" s="30">
        <f>INDEX('Parity Tracker'!$F$2:$F$255,MATCH($B15,'Parity Tracker'!$A$2:$A$255,0))</f>
        <v/>
      </c>
      <c r="F15" s="30">
        <f>INDEX('Parity Tracker'!$G$2:$G$255,MATCH($B15,'Parity Tracker'!$A$2:$A$255,0))</f>
        <v/>
      </c>
      <c r="G15" s="30">
        <f>INDEX('Parity Tracker'!$E$2:$E$255,MATCH($B15,'Parity Tracker'!$A$2:$A$255,0))</f>
        <v/>
      </c>
      <c r="H15" s="30">
        <f>INDEX('Parity Tracker'!$J$2:$J$255,MATCH($B15,'Parity Tracker'!$A$2:$A$255,0))</f>
        <v/>
      </c>
    </row>
    <row r="16" ht="15" customHeight="1" s="17">
      <c r="A16" s="30" t="n">
        <v>10</v>
      </c>
      <c r="B16" s="30" t="inlineStr">
        <is>
          <t>T-13</t>
        </is>
      </c>
      <c r="C16" s="30">
        <f>INDEX('Parity Tracker'!$C$2:$C$255,MATCH($B16,'Parity Tracker'!$A$2:$A$255,0))</f>
        <v/>
      </c>
      <c r="D16" s="30">
        <f>INDEX('Parity Tracker'!$B$2:$B$255,MATCH($B16,'Parity Tracker'!$A$2:$A$255,0))</f>
        <v/>
      </c>
      <c r="E16" s="30">
        <f>INDEX('Parity Tracker'!$F$2:$F$255,MATCH($B16,'Parity Tracker'!$A$2:$A$255,0))</f>
        <v/>
      </c>
      <c r="F16" s="30">
        <f>INDEX('Parity Tracker'!$G$2:$G$255,MATCH($B16,'Parity Tracker'!$A$2:$A$255,0))</f>
        <v/>
      </c>
      <c r="G16" s="30">
        <f>INDEX('Parity Tracker'!$E$2:$E$255,MATCH($B16,'Parity Tracker'!$A$2:$A$255,0))</f>
        <v/>
      </c>
      <c r="H16" s="30">
        <f>INDEX('Parity Tracker'!$J$2:$J$255,MATCH($B16,'Parity Tracker'!$A$2:$A$255,0))</f>
        <v/>
      </c>
    </row>
    <row r="17" ht="15" customHeight="1" s="17">
      <c r="A17" s="30" t="n">
        <v>11</v>
      </c>
      <c r="B17" s="30" t="inlineStr">
        <is>
          <t>T-10</t>
        </is>
      </c>
      <c r="C17" s="30">
        <f>INDEX('Parity Tracker'!$C$2:$C$255,MATCH($B17,'Parity Tracker'!$A$2:$A$255,0))</f>
        <v/>
      </c>
      <c r="D17" s="30">
        <f>INDEX('Parity Tracker'!$B$2:$B$255,MATCH($B17,'Parity Tracker'!$A$2:$A$255,0))</f>
        <v/>
      </c>
      <c r="E17" s="30">
        <f>INDEX('Parity Tracker'!$F$2:$F$255,MATCH($B17,'Parity Tracker'!$A$2:$A$255,0))</f>
        <v/>
      </c>
      <c r="F17" s="30">
        <f>INDEX('Parity Tracker'!$G$2:$G$255,MATCH($B17,'Parity Tracker'!$A$2:$A$255,0))</f>
        <v/>
      </c>
      <c r="G17" s="30">
        <f>INDEX('Parity Tracker'!$E$2:$E$255,MATCH($B17,'Parity Tracker'!$A$2:$A$255,0))</f>
        <v/>
      </c>
      <c r="H17" s="30">
        <f>INDEX('Parity Tracker'!$J$2:$J$255,MATCH($B17,'Parity Tracker'!$A$2:$A$255,0))</f>
        <v/>
      </c>
    </row>
    <row r="18" ht="15" customHeight="1" s="17">
      <c r="A18" s="30" t="n">
        <v>12</v>
      </c>
      <c r="B18" s="30" t="inlineStr">
        <is>
          <t>T-33</t>
        </is>
      </c>
      <c r="C18" s="30">
        <f>INDEX('Parity Tracker'!$C$2:$C$255,MATCH($B18,'Parity Tracker'!$A$2:$A$255,0))</f>
        <v/>
      </c>
      <c r="D18" s="30">
        <f>INDEX('Parity Tracker'!$B$2:$B$255,MATCH($B18,'Parity Tracker'!$A$2:$A$255,0))</f>
        <v/>
      </c>
      <c r="E18" s="30">
        <f>INDEX('Parity Tracker'!$F$2:$F$255,MATCH($B18,'Parity Tracker'!$A$2:$A$255,0))</f>
        <v/>
      </c>
      <c r="F18" s="30">
        <f>INDEX('Parity Tracker'!$G$2:$G$255,MATCH($B18,'Parity Tracker'!$A$2:$A$255,0))</f>
        <v/>
      </c>
      <c r="G18" s="30">
        <f>INDEX('Parity Tracker'!$E$2:$E$255,MATCH($B18,'Parity Tracker'!$A$2:$A$255,0))</f>
        <v/>
      </c>
      <c r="H18" s="30">
        <f>INDEX('Parity Tracker'!$J$2:$J$255,MATCH($B18,'Parity Tracker'!$A$2:$A$255,0))</f>
        <v/>
      </c>
    </row>
    <row r="19" ht="15" customHeight="1" s="17">
      <c r="A19" s="30" t="n">
        <v>13</v>
      </c>
      <c r="B19" s="30" t="inlineStr">
        <is>
          <t>S-02</t>
        </is>
      </c>
      <c r="C19" s="30">
        <f>INDEX('Parity Tracker'!$C$2:$C$255,MATCH($B19,'Parity Tracker'!$A$2:$A$255,0))</f>
        <v/>
      </c>
      <c r="D19" s="30">
        <f>INDEX('Parity Tracker'!$B$2:$B$255,MATCH($B19,'Parity Tracker'!$A$2:$A$255,0))</f>
        <v/>
      </c>
      <c r="E19" s="30">
        <f>INDEX('Parity Tracker'!$F$2:$F$255,MATCH($B19,'Parity Tracker'!$A$2:$A$255,0))</f>
        <v/>
      </c>
      <c r="F19" s="30">
        <f>INDEX('Parity Tracker'!$G$2:$G$255,MATCH($B19,'Parity Tracker'!$A$2:$A$255,0))</f>
        <v/>
      </c>
      <c r="G19" s="30">
        <f>INDEX('Parity Tracker'!$E$2:$E$255,MATCH($B19,'Parity Tracker'!$A$2:$A$255,0))</f>
        <v/>
      </c>
      <c r="H19" s="30">
        <f>INDEX('Parity Tracker'!$J$2:$J$255,MATCH($B19,'Parity Tracker'!$A$2:$A$255,0))</f>
        <v/>
      </c>
    </row>
    <row r="20" ht="15" customHeight="1" s="17">
      <c r="A20" s="30" t="n">
        <v>14</v>
      </c>
      <c r="B20" s="30" t="inlineStr">
        <is>
          <t>A-07</t>
        </is>
      </c>
      <c r="C20" s="30">
        <f>INDEX('Parity Tracker'!$C$2:$C$255,MATCH($B20,'Parity Tracker'!$A$2:$A$255,0))</f>
        <v/>
      </c>
      <c r="D20" s="30">
        <f>INDEX('Parity Tracker'!$B$2:$B$255,MATCH($B20,'Parity Tracker'!$A$2:$A$255,0))</f>
        <v/>
      </c>
      <c r="E20" s="30">
        <f>INDEX('Parity Tracker'!$F$2:$F$255,MATCH($B20,'Parity Tracker'!$A$2:$A$255,0))</f>
        <v/>
      </c>
      <c r="F20" s="30">
        <f>INDEX('Parity Tracker'!$G$2:$G$255,MATCH($B20,'Parity Tracker'!$A$2:$A$255,0))</f>
        <v/>
      </c>
      <c r="G20" s="30">
        <f>INDEX('Parity Tracker'!$E$2:$E$255,MATCH($B20,'Parity Tracker'!$A$2:$A$255,0))</f>
        <v/>
      </c>
      <c r="H20" s="30">
        <f>INDEX('Parity Tracker'!$J$2:$J$255,MATCH($B20,'Parity Tracker'!$A$2:$A$255,0))</f>
        <v/>
      </c>
    </row>
    <row r="22" ht="15" customHeight="1" s="17">
      <c r="A22" s="19" t="inlineStr">
        <is>
          <t>Order 1 items need the owner (Supabase dashboard / device credentials). The rest are built in sequence, top to bottom.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16" min="1" max="1"/>
    <col width="16" customWidth="1" style="16" min="2" max="2"/>
    <col width="70" customWidth="1" style="16" min="3" max="4"/>
    <col width="12" customWidth="1" style="16" min="5" max="5"/>
  </cols>
  <sheetData>
    <row r="1" ht="15" customHeight="1" s="17">
      <c r="A1" s="31" t="inlineStr">
        <is>
          <t>Date</t>
        </is>
      </c>
      <c r="B1" s="31" t="inlineStr">
        <is>
          <t>ID(s)</t>
        </is>
      </c>
      <c r="C1" s="31" t="inlineStr">
        <is>
          <t>What was built</t>
        </is>
      </c>
      <c r="D1" s="31" t="inlineStr">
        <is>
          <t>Verification</t>
        </is>
      </c>
      <c r="E1" s="31" t="inlineStr">
        <is>
          <t>Tests after</t>
        </is>
      </c>
    </row>
    <row r="2" ht="15" customHeight="1" s="17">
      <c r="A2" s="30" t="inlineStr">
        <is>
          <t>2026-10-04</t>
        </is>
      </c>
      <c r="B2" s="30" t="inlineStr">
        <is>
          <t>T-03, C-64, C-79</t>
        </is>
      </c>
      <c r="C2" s="30" t="inlineStr">
        <is>
          <t>Subscription Tracker; Prepay-or-Invest; Job Offer Comparer</t>
        </is>
      </c>
      <c r="D2" s="30" t="inlineStr">
        <is>
          <t>Parity tests vs the website; preview run</t>
        </is>
      </c>
      <c r="E2" s="30" t="inlineStr">
        <is>
          <t>22</t>
        </is>
      </c>
    </row>
    <row r="3" ht="15" customHeight="1" s="17">
      <c r="A3" s="30" t="inlineStr">
        <is>
          <t>2026-10-11</t>
        </is>
      </c>
      <c r="B3" s="30" t="inlineStr">
        <is>
          <t>P-15, P-16</t>
        </is>
      </c>
      <c r="C3" s="30" t="inlineStr">
        <is>
          <t>Tracker sync (three-way merge) + holdings sync; website sync upgraded to v2</t>
        </is>
      </c>
      <c r="D3" s="30" t="inlineStr">
        <is>
          <t>Phone engine vs website module; PostgREST-rules server; mock-Supabase UI run</t>
        </is>
      </c>
      <c r="E3" s="30" t="inlineStr">
        <is>
          <t>33</t>
        </is>
      </c>
    </row>
    <row r="4" ht="23.25" customHeight="1" s="17">
      <c r="A4" s="30" t="inlineStr">
        <is>
          <t>2026-10-11</t>
        </is>
      </c>
      <c r="B4" s="30" t="inlineStr">
        <is>
          <t>M-01, M-02</t>
        </is>
      </c>
      <c r="C4" s="30" t="inlineStr">
        <is>
          <t>Live sector indices; removed invented index prices, FII/DII and Account Aggregator demos</t>
        </is>
      </c>
      <c r="D4" s="30" t="inlineStr">
        <is>
          <t>Route verified in-process (8 sectors from NSE)</t>
        </is>
      </c>
      <c r="E4" s="30" t="inlineStr">
        <is>
          <t>33</t>
        </is>
      </c>
    </row>
    <row r="5" ht="15" customHeight="1" s="17">
      <c r="A5" s="30" t="inlineStr">
        <is>
          <t>2026-10-12</t>
        </is>
      </c>
      <c r="B5" s="30" t="inlineStr">
        <is>
          <t>T-34</t>
        </is>
      </c>
      <c r="C5" s="30" t="inlineStr">
        <is>
          <t>Bank statement import (CSV / AA JSON): preview, dedupe, undo</t>
        </is>
      </c>
      <c r="D5" s="30" t="inlineStr">
        <is>
          <t>700 random statements identical to the website; preview run</t>
        </is>
      </c>
      <c r="E5" s="30" t="inlineStr">
        <is>
          <t>43</t>
        </is>
      </c>
    </row>
    <row r="6" ht="15" customHeight="1" s="17">
      <c r="A6" s="30" t="inlineStr">
        <is>
          <t>2026-10-12</t>
        </is>
      </c>
      <c r="B6" s="30" t="inlineStr">
        <is>
          <t>T-32</t>
        </is>
      </c>
      <c r="C6" s="30" t="inlineStr">
        <is>
          <t>Money Score: six pillars, ranked next moves, what-if, history</t>
        </is>
      </c>
      <c r="D6" s="30" t="inlineStr">
        <is>
          <t>1,500 random inputs identical to the website; preview run</t>
        </is>
      </c>
      <c r="E6" s="30" t="inlineStr">
        <is>
          <t>51</t>
        </is>
      </c>
    </row>
    <row r="7" ht="23.25" customHeight="1" s="17">
      <c r="A7" s="30" t="inlineStr">
        <is>
          <t>2026-10-12</t>
        </is>
      </c>
      <c r="B7" s="30" t="inlineStr">
        <is>
          <t>R-04, R-05, R-06, R-17</t>
        </is>
      </c>
      <c r="C7" s="30" t="inlineStr">
        <is>
          <t>Privacy &amp; your data screen, Terms of use, export / erase / delete cloud copy / delete account (RPC); removed unused phone permissions</t>
        </is>
      </c>
      <c r="D7" s="30" t="inlineStr">
        <is>
          <t>63 tests incl. guards (no new host, no new permission, no analytics SDK); preview run: counts, export without token, erase</t>
        </is>
      </c>
      <c r="E7" s="30" t="inlineStr">
        <is>
          <t>63</t>
        </is>
      </c>
    </row>
    <row r="8" ht="23.25" customHeight="1" s="17">
      <c r="A8" s="30" t="inlineStr">
        <is>
          <t>2026-10-12</t>
        </is>
      </c>
      <c r="B8" s="30" t="inlineStr">
        <is>
          <t>T-26</t>
        </is>
      </c>
      <c r="C8" s="30" t="inlineStr">
        <is>
          <t>Retirement planner: projected corpus vs 25× need, Monte Carlo success odds (4,000 futures), fan chart, monthly-SIP solver</t>
        </is>
      </c>
      <c r="D8" s="30" t="inlineStr">
        <is>
          <t>Engine seeded-identical to the website on 40 configs; solveContribution identical (24,500 on the preview profile); plan identical on 400 random stored profiles</t>
        </is>
      </c>
      <c r="E8" s="30" t="inlineStr">
        <is>
          <t>68</t>
        </is>
      </c>
    </row>
    <row r="9" ht="34.5" customHeight="1" s="17">
      <c r="A9" s="30" t="inlineStr">
        <is>
          <t>2026-10-12</t>
        </is>
      </c>
      <c r="B9" s="30" t="inlineStr">
        <is>
          <t>T-31 (savings tracker), T-33, T-09, T-06</t>
        </is>
      </c>
      <c r="C9" s="30" t="inlineStr">
        <is>
          <t>Tax Savings (deduction headroom vs regime), Future Loss, Deposits &amp; fixed income, Debt payoff (avalanche / snowball)</t>
        </is>
      </c>
      <c r="D9" s="30" t="inlineStr">
        <is>
          <t>savingsPlan identical to the website on 2,000 random cases; leak on 800 ledgers; FD on 1,500 entries; debt on 600 loan sets; preview run of all four screens</t>
        </is>
      </c>
      <c r="E9" s="30" t="inlineStr">
        <is>
          <t>94</t>
        </is>
      </c>
    </row>
    <row r="10" ht="23.25" customHeight="1" s="17">
      <c r="A10" s="30" t="inlineStr">
        <is>
          <t>2026-10-12</t>
        </is>
      </c>
      <c r="B10" s="30" t="inlineStr">
        <is>
          <t>T-27, T-28, T-14</t>
        </is>
      </c>
      <c r="C10" s="30" t="inlineStr">
        <is>
          <t>Salary structure (CTC → take-home, HRA, tips), SIP step-up planner, Home loan EMI &amp; prepayment planner</t>
        </is>
      </c>
      <c r="D10" s="30" t="inlineStr">
        <is>
          <t>Salary 1,500 random salaries + tips identical to the website; step-up 1,500 inputs incl. junk; home loan 1,200 loans + prepayment; preview run of all three screens</t>
        </is>
      </c>
      <c r="E10" s="30" t="inlineStr">
        <is>
          <t>127</t>
        </is>
      </c>
    </row>
    <row r="11" ht="34.5" customHeight="1" s="17">
      <c r="A11" s="30" t="inlineStr">
        <is>
          <t>2026-10-12</t>
        </is>
      </c>
      <c r="B11" s="30" t="inlineStr">
        <is>
          <t>T-13, T-10 (calendar view)</t>
        </is>
      </c>
      <c r="C11" s="30" t="inlineStr">
        <is>
          <t>Gold tracker; Financial calendar (month grid, upcoming, summary)</t>
        </is>
      </c>
      <c r="D11" s="30" t="inlineStr">
        <is>
          <t>Gold total/coupon identical to the website on 400 portfolios; calendar events identical on 150 random households with a frozen clock; tax dates identical over 4 ranges; preview run</t>
        </is>
      </c>
      <c r="E11" s="30" t="inlineStr">
        <is>
          <t>134</t>
        </is>
      </c>
    </row>
    <row r="12" ht="34.5" customHeight="1" s="17">
      <c r="A12" s="30" t="inlineStr">
        <is>
          <t>2026-10-12</t>
        </is>
      </c>
      <c r="B12" s="30" t="inlineStr">
        <is>
          <t>S-02, A-07</t>
        </is>
      </c>
      <c r="C12" s="30" t="inlineStr">
        <is>
          <t>Broker holdings CSV import (preview, replace-not-add, undo-safe); Arya safety guardrails</t>
        </is>
      </c>
      <c r="D12" s="30" t="inlineStr">
        <is>
          <t>Holdings parser identical to the website on 700 random files; guardrails identical on 405 user×reply pairs; preview run: import into Portfolio, evasion refused with no /api/chat request, normal answer streams</t>
        </is>
      </c>
      <c r="E12" s="30" t="inlineStr">
        <is>
          <t>146</t>
        </is>
      </c>
    </row>
    <row r="13" ht="23.25" customHeight="1" s="17">
      <c r="A13" s="30" t="inlineStr">
        <is>
          <t>2026-10-12</t>
        </is>
      </c>
      <c r="B13" s="30" t="inlineStr">
        <is>
          <t>T-04, T-05</t>
        </is>
      </c>
      <c r="C13" s="30" t="inlineStr">
        <is>
          <t>Credit score tracker; Crypto tracker (found in the tree from a parallel session, verified and logged here)</t>
        </is>
      </c>
      <c r="D13" s="30" t="inlineStr">
        <is>
          <t>Both screens rendered in the preview without console errors; their parity tests are part of the 146</t>
        </is>
      </c>
      <c r="E13" s="30" t="inlineStr">
        <is>
          <t>146</t>
        </is>
      </c>
    </row>
    <row r="14" ht="23.25" customHeight="1" s="17">
      <c r="A14" s="30" t="inlineStr">
        <is>
          <t>2026-10-12</t>
        </is>
      </c>
      <c r="B14" s="30" t="inlineStr">
        <is>
          <t>T-31 (Tax Planner)</t>
        </is>
      </c>
      <c r="C14" s="30" t="inlineStr">
        <is>
          <t>Tax Planner: both regimes side by side with surcharge, HRA, deductions, capital gains and actions; website surcharge corrected</t>
        </is>
      </c>
      <c r="D14" s="30" t="inlineStr">
        <is>
          <t>Identical to the website on 1,500 random taxpayers (incl. 100+ above ₹50L); agrees with the shared tax core up to ₹50L; website tax-consistency tests pass; preview run</t>
        </is>
      </c>
      <c r="E14" s="30" t="inlineStr">
        <is>
          <t>152</t>
        </is>
      </c>
    </row>
    <row r="15" ht="23.25" customHeight="1" s="17">
      <c r="A15" s="30" t="inlineStr">
        <is>
          <t>2026-10-12</t>
        </is>
      </c>
      <c r="B15" s="30" t="inlineStr">
        <is>
          <t>R-12, P-12</t>
        </is>
      </c>
      <c r="C15" s="30" t="inlineStr">
        <is>
          <t>Accessibility pass (labels, roles, contrast, guard test); Settings no longer shows a toggle that does nothing</t>
        </is>
      </c>
      <c r="D15" s="30" t="inlineStr">
        <is>
          <t>a11y guard test (4 checks); contrast computed against the theme; preview run of Settings</t>
        </is>
      </c>
      <c r="E15" s="30" t="inlineStr">
        <is>
          <t>156</t>
        </is>
      </c>
    </row>
    <row r="16" ht="23.25" customHeight="1" s="17">
      <c r="A16" s="30" t="inlineStr">
        <is>
          <t>2026-10-12</t>
        </is>
      </c>
      <c r="B16" s="30" t="inlineStr">
        <is>
          <t>T-30</t>
        </is>
      </c>
      <c r="C16" s="30" t="inlineStr">
        <is>
          <t>Bonus &amp; windfall allocator</t>
        </is>
      </c>
      <c r="D16" s="30" t="inlineStr">
        <is>
          <t>Waterfall identical to the website on 1,000 random households; bonus tax figures equal what the website prints; preview run</t>
        </is>
      </c>
      <c r="E16" s="30" t="inlineStr">
        <is>
          <t>161</t>
        </is>
      </c>
    </row>
    <row r="17" ht="23.25" customHeight="1" s="17">
      <c r="A17" s="30" t="inlineStr">
        <is>
          <t>2026-10-12</t>
        </is>
      </c>
      <c r="B17" s="30" t="inlineStr">
        <is>
          <t>T-22</t>
        </is>
      </c>
      <c r="C17" s="30" t="inlineStr">
        <is>
          <t>Passive income tracker</t>
        </is>
      </c>
      <c r="D17" s="30" t="inlineStr">
        <is>
          <t>Total and coverage identical to the website's _recompute on 800 random stream lists; preview run</t>
        </is>
      </c>
      <c r="E17" s="30" t="inlineStr">
        <is>
          <t>167</t>
        </is>
      </c>
    </row>
    <row r="18" ht="23.25" customHeight="1" s="17">
      <c r="A18" s="30" t="inlineStr">
        <is>
          <t>2026-10-12</t>
        </is>
      </c>
      <c r="B18" s="30" t="inlineStr">
        <is>
          <t>T-17</t>
        </is>
      </c>
      <c r="C18" s="30" t="inlineStr">
        <is>
          <t>Life cover needed calculator (linked from Insurance)</t>
        </is>
      </c>
      <c r="D18" s="30" t="inlineStr">
        <is>
          <t>Identical to the website on 1,500 random profiles incl. equal discount/inflation; preview run</t>
        </is>
      </c>
      <c r="E18" s="30" t="inlineStr">
        <is>
          <t>170</t>
        </is>
      </c>
    </row>
    <row r="19" ht="23.25" customHeight="1" s="17">
      <c r="A19" s="30" t="inlineStr">
        <is>
          <t>2026-10-12</t>
        </is>
      </c>
      <c r="B19" s="30" t="inlineStr">
        <is>
          <t>T-23</t>
        </is>
      </c>
      <c r="C19" s="30" t="inlineStr">
        <is>
          <t>Portfolio rebalancer</t>
        </is>
      </c>
      <c r="D19" s="30" t="inlineStr">
        <is>
          <t>Class rows, normalised target and drift flag identical to the website on 1,000 portfolios; preview run</t>
        </is>
      </c>
      <c r="E19" s="30" t="inlineStr">
        <is>
          <t>175</t>
        </is>
      </c>
    </row>
    <row r="20" ht="23.25" customHeight="1" s="17">
      <c r="A20" s="30" t="inlineStr">
        <is>
          <t>2026-10-12</t>
        </is>
      </c>
      <c r="B20" s="30" t="inlineStr">
        <is>
          <t>T-16</t>
        </is>
      </c>
      <c r="C20" s="30" t="inlineStr">
        <is>
          <t>ITR prep kit (linked from the Tax planner)</t>
        </is>
      </c>
      <c r="D20" s="30" t="inlineStr">
        <is>
          <t>Every figure identical to the website's _compute on 800 random sets of stored values with a frozen clock; preview run</t>
        </is>
      </c>
      <c r="E20" s="30" t="inlineStr">
        <is>
          <t>179</t>
        </is>
      </c>
    </row>
    <row r="21" ht="23.85" customHeight="1" s="17">
      <c r="A21" s="30" t="inlineStr">
        <is>
          <t>2026-10-12</t>
        </is>
      </c>
      <c r="B21" s="30" t="inlineStr">
        <is>
          <t>T-12</t>
        </is>
      </c>
      <c r="C21" s="30" t="inlineStr">
        <is>
          <t>Goal optimizer (linked from Goals); website double-counted inflation on saved money and was fixed</t>
        </is>
      </c>
      <c r="D21" s="30" t="inlineStr">
        <is>
          <t>Identical to the corrected website on 800 random goal sets with a frozen clock; website suite 327/327; preview run</t>
        </is>
      </c>
      <c r="E21" s="30" t="inlineStr">
        <is>
          <t>183</t>
        </is>
      </c>
    </row>
    <row r="22">
      <c r="A22" s="16" t="inlineStr">
        <is>
          <t>2026-10-13</t>
        </is>
      </c>
      <c r="B22" s="16" t="inlineStr">
        <is>
          <t>T-29</t>
        </is>
      </c>
      <c r="C22" s="16" t="inlineStr">
        <is>
          <t>Tax loss / gain harvesting: loss offset, exemption headroom, gain-harvest candidates, own holdings only; website gained 4% cess</t>
        </is>
      </c>
      <c r="D22" s="16" t="inlineStr">
        <is>
          <t>Identical to the website on 1,200 random portfolios across four "today" dates; preview run with hand-checked figures</t>
        </is>
      </c>
      <c r="E22" s="16" t="n">
        <v>196</v>
      </c>
    </row>
    <row r="23">
      <c r="A23" s="16" t="inlineStr">
        <is>
          <t>2026-10-13</t>
        </is>
      </c>
      <c r="B23" s="16" t="inlineStr">
        <is>
          <t>T-18 (website fix)</t>
        </is>
      </c>
      <c r="C23" s="16" t="inlineStr">
        <is>
          <t>Life Goals Planner maths moved to js/finos-life-goals.js; savings shared once after the emergency fund; no invented profile values</t>
        </is>
      </c>
      <c r="D23" s="16" t="inlineStr">
        <is>
          <t>tests/life-goals.test.js (9), tests/test_life_goals_ui.py (5)</t>
        </is>
      </c>
      <c r="E23" s="16" t="n">
        <v>196</v>
      </c>
    </row>
    <row r="24">
      <c r="A24" s="16" t="inlineStr">
        <is>
          <t>2026-10-13</t>
        </is>
      </c>
      <c r="B24" s="16" t="inlineStr">
        <is>
          <t>T-02 (website fix)</t>
        </is>
      </c>
      <c r="C24" s="16" t="inlineStr">
        <is>
          <t>Budget Forecast core extracted to js/finos-forecast.js; expenses only, honest short history, no overwrite of recorded values</t>
        </is>
      </c>
      <c r="D24" s="16" t="inlineStr">
        <is>
          <t>tests/forecast.test.js (7), tests/test_budget_forecast_ui.py (5)</t>
        </is>
      </c>
      <c r="E24" s="16" t="n">
        <v>196</v>
      </c>
    </row>
    <row r="25">
      <c r="A25" s="16" t="inlineStr">
        <is>
          <t>2026-10-13</t>
        </is>
      </c>
      <c r="B25" s="16" t="inlineStr">
        <is>
          <t>P-06, R-10</t>
        </is>
      </c>
      <c r="C25" s="16" t="inlineStr">
        <is>
          <t>Local reminders: planner, permission flow, settings, cleared on erase; stale "not available" notices removed</t>
        </is>
      </c>
      <c r="D25" s="16" t="inlineStr">
        <is>
          <t>tests/reminders.test.mts (11) + permission guard updated; web preview run (unsupported path)</t>
        </is>
      </c>
      <c r="E25" s="16" t="n">
        <v>207</v>
      </c>
    </row>
    <row r="26">
      <c r="A26" s="16" t="inlineStr">
        <is>
          <t>2026-10-13</t>
        </is>
      </c>
      <c r="B26" s="16" t="inlineStr">
        <is>
          <t>P-08 (quiz), L-26</t>
        </is>
      </c>
      <c r="C26" s="16" t="inlineStr">
        <is>
          <t>Financial DNA quiz on the phone; Health Score Behaviour uses it; shared questions module; missing 36-49 age band added</t>
        </is>
      </c>
      <c r="D26" s="16" t="inlineStr">
        <is>
          <t>tests/dna.test.js (5), dna.parity.test.mts (5); preview run: 9 answers, scores saved, health pillar 11/15</t>
        </is>
      </c>
      <c r="E26" s="16" t="n">
        <v>212</v>
      </c>
    </row>
    <row r="27">
      <c r="A27" s="16" t="inlineStr">
        <is>
          <t>2026-10-14</t>
        </is>
      </c>
      <c r="B27" s="16" t="inlineStr">
        <is>
          <t>C-01…C-90 (71 of 88)</t>
        </is>
      </c>
      <c r="C27" s="16" t="inlineStr">
        <is>
          <t>Calculators hub + 71 calculators across 9 groups; parity harness runs each website page script; 3 website bugs found and fixed (SSY double count, Options zero-strike hang, Bond coupon float)</t>
        </is>
      </c>
      <c r="D27" s="16" t="inlineStr">
        <is>
          <t>webCalc.parity.test.mts: 63 pages x ~70 vectors each; preview run</t>
        </is>
      </c>
      <c r="E27" s="16" t="n">
        <v>287</v>
      </c>
    </row>
    <row r="28">
      <c r="A28" s="16" t="inlineStr">
        <is>
          <t>2026-10-14</t>
        </is>
      </c>
      <c r="B28" s="16" t="inlineStr">
        <is>
          <t>T-25, C-21</t>
        </is>
      </c>
      <c r="C28" s="16" t="inlineStr">
        <is>
          <t>Real estate: buy vs rent, true cost, rental yield on the phone; website page rewired to a shared tested module with a corrected model</t>
        </is>
      </c>
      <c r="D28" s="16" t="inlineStr">
        <is>
          <t>tests/real-estate.test.js (11), test_real_estate_ui.py (4), realEstate.parity (3); preview run</t>
        </is>
      </c>
      <c r="E28" s="16" t="n">
        <v>290</v>
      </c>
    </row>
    <row r="29">
      <c r="A29" s="16" t="inlineStr">
        <is>
          <t>2026-10-14</t>
        </is>
      </c>
      <c r="B29" s="16" t="inlineStr">
        <is>
          <t>P-04, P-07 (nudges)</t>
        </is>
      </c>
      <c r="C29" s="16" t="inlineStr">
        <is>
          <t>Phone-wide search with route-existence guard; Home nudges from recorded facts, dismissible</t>
        </is>
      </c>
      <c r="D29" s="16" t="inlineStr">
        <is>
          <t>search.test.mts (8), nudges.test.mts (6); preview run</t>
        </is>
      </c>
      <c r="E29" s="16" t="n">
        <v>304</v>
      </c>
    </row>
    <row r="30">
      <c r="A30" s="16" t="inlineStr">
        <is>
          <t>2026-10-14</t>
        </is>
      </c>
      <c r="B30" s="16" t="inlineStr">
        <is>
          <t>P-01, T-37, P-09</t>
        </is>
      </c>
      <c r="C30" s="16" t="inlineStr">
        <is>
          <t>Light theme (runtime colour mapper, contrast-audited), Financial report (text share), Profile; Hindi strings</t>
        </is>
      </c>
      <c r="D30" s="16" t="inlineStr">
        <is>
          <t>theme.test.mts (9), report.test.mts (6), profile.test.mts (4); 27-screen contrast audit = 0; preview run</t>
        </is>
      </c>
      <c r="E30" s="16" t="n">
        <v>322</v>
      </c>
    </row>
    <row r="31">
      <c r="A31" s="16" t="inlineStr">
        <is>
          <t>2026-10-14</t>
        </is>
      </c>
      <c r="B31" s="16" t="inlineStr">
        <is>
          <t>R-12, R-14, R-15, S-07 (watchlist)</t>
        </is>
      </c>
      <c r="C31" s="16" t="inlineStr">
        <is>
          <t>Route smoke script (found nested buttons on Portfolio), plain-language offline Arya reply with links, 200% text cap, watchlist</t>
        </is>
      </c>
      <c r="D31" s="16" t="inlineStr">
        <is>
          <t>smoke-routes: 55 screens x 4 runs = 0; watchlist.test.mts (5), aryaOffline.test.mts (4)</t>
        </is>
      </c>
      <c r="E31" s="16" t="n">
        <v>331</v>
      </c>
    </row>
    <row r="32">
      <c r="A32" s="16" t="inlineStr">
        <is>
          <t>2026-10-14</t>
        </is>
      </c>
      <c r="B32" s="16" t="inlineStr">
        <is>
          <t>S-04 (XIRR)</t>
        </is>
      </c>
      <c r="C32" s="16" t="inlineStr">
        <is>
          <t>Annualised return from entered purchase dates; undated holdings left out</t>
        </is>
      </c>
      <c r="D32" s="16" t="inlineStr">
        <is>
          <t>xirr.test.mts (6); preview run: 20 -&gt; 24 over 2 years = 9.5% a year</t>
        </is>
      </c>
      <c r="E32" s="16" t="n">
        <v>337</v>
      </c>
    </row>
    <row r="33">
      <c r="A33" s="16" t="inlineStr">
        <is>
          <t>2026-10-14</t>
        </is>
      </c>
      <c r="B33" s="16" t="inlineStr">
        <is>
          <t>P-03, P-05</t>
        </is>
      </c>
      <c r="C33" s="16" t="inlineStr">
        <is>
          <t>App lock + encrypted backup (interoperates with web vault both ways); on-device alerts bell</t>
        </is>
      </c>
      <c r="D33" s="16" t="inlineStr">
        <is>
          <t>vaultCrypto.test (5), appLock.test (5), backup.test (3), alerts.test (9); preview: lock/unlock/wrong PIN, real 310k-round backup opened by js/finos-vault.js</t>
        </is>
      </c>
      <c r="E33" s="16" t="n">
        <v>359</v>
      </c>
    </row>
    <row r="34">
      <c r="A34" s="16" t="inlineStr">
        <is>
          <t>2026-10-15</t>
        </is>
      </c>
      <c r="B34" s="16" t="inlineStr">
        <is>
          <t>L-01..L-26, T-36</t>
        </is>
      </c>
      <c r="C34" s="16" t="inlineStr">
        <is>
          <t>Learn: 25 lessons bundled in the app with on-device progress, search entries, Knowledge pillar follows the website</t>
        </is>
      </c>
      <c r="D34" s="16" t="inlineStr">
        <is>
          <t>Per docs/agent-notes/learn.md: learn.test.mts (14) incl. a golden test against js/finos-health-score.js; preview run. Logged here on 2026-10-17 from the agent note; not re-run line by line</t>
        </is>
      </c>
      <c r="E34" s="16" t="n">
        <v>351</v>
      </c>
    </row>
    <row r="35">
      <c r="A35" s="16" t="inlineStr">
        <is>
          <t>2026-10-15</t>
        </is>
      </c>
      <c r="B35" s="16" t="inlineStr">
        <is>
          <t>T-19, M-21</t>
        </is>
      </c>
      <c r="C35" s="16" t="inlineStr">
        <is>
          <t>Insurance hub (cover types, questions, your policies beside them) and mutual-fund search, detail and compare</t>
        </is>
      </c>
      <c r="D35" s="16" t="inlineStr">
        <is>
          <t>Per docs/agent-notes/insurance-mf.md: parity with js/mf-intelligence.js, extraction script check; preview run. Logged from the note</t>
        </is>
      </c>
      <c r="E35" s="16" t="n">
        <v>378</v>
      </c>
    </row>
    <row r="36">
      <c r="A36" s="16" t="inlineStr">
        <is>
          <t>2026-10-15</t>
        </is>
      </c>
      <c r="B36" s="16" t="inlineStr">
        <is>
          <t>A-02, A-05, A-06</t>
        </is>
      </c>
      <c r="C36" s="16" t="inlineStr">
        <is>
          <t>PULSE feed (14 of 27 widgets), Arya memory and life events, local Arya tools</t>
        </is>
      </c>
      <c r="D36" s="16" t="inlineStr">
        <is>
          <t>Per docs/agent-notes/arya-pulse.md: ranking vs js/arya-pulse-rank.js on 600 contexts, 33 positive + 15 negative intent phrases; preview run. Logged from the note</t>
        </is>
      </c>
      <c r="E36" s="16" t="inlineStr"/>
    </row>
    <row r="37">
      <c r="A37" s="16" t="inlineStr">
        <is>
          <t>2026-10-15</t>
        </is>
      </c>
      <c r="B37" s="16" t="inlineStr">
        <is>
          <t>M-04, M-05, M-06, M-15, M-19</t>
        </is>
      </c>
      <c r="C37" s="16" t="inlineStr">
        <is>
          <t>Market research: stock and fund detail, screener, news with stated sentiment, commodities, FX, crypto lists; offline cache with time</t>
        </is>
      </c>
      <c r="D37" s="16" t="inlineStr">
        <is>
          <t>Per docs/agent-notes/market-data.md: marketData tests (33) + backend pytest (30, stubs only); preview run. Logged from the note</t>
        </is>
      </c>
      <c r="E37" s="16" t="inlineStr"/>
    </row>
    <row r="38">
      <c r="A38" s="16" t="inlineStr">
        <is>
          <t>2026-10-15</t>
        </is>
      </c>
      <c r="B38" s="16" t="inlineStr">
        <is>
          <t>T-01, T-02, T-10, T-18, T-38, T-39</t>
        </is>
      </c>
      <c r="C38" s="16" t="inlineStr">
        <is>
          <t>Growth projection, spending forecast, life goals planner, couple finance, benchmarks, your own calendar dates</t>
        </is>
      </c>
      <c r="D38" s="16" t="inlineStr">
        <is>
          <t>Per docs/agent-notes/planners.md: parity vs the website cores, mutation checks, smoke 6 screens x 4 runs = 0; theme audit 0 low-contrast. Logged from the note</t>
        </is>
      </c>
      <c r="E38" s="16" t="inlineStr"/>
    </row>
    <row r="39">
      <c r="A39" s="16" t="inlineStr">
        <is>
          <t>2026-10-15</t>
        </is>
      </c>
      <c r="B39" s="16" t="inlineStr">
        <is>
          <t>P-08, P-11, R-06, R-10, R-13, P-10</t>
        </is>
      </c>
      <c r="C39" s="16" t="inlineStr">
        <is>
          <t>Trust platform: onboarding, feedback, crash notes, erase flow, explain-first permissions, lock hardening, Google sign-in code path (hidden)</t>
        </is>
      </c>
      <c r="D39" s="16" t="inlineStr">
        <is>
          <t>Per docs/agent-notes/trust-platform.md: redaction and feedback parity, erase and lock tests, mutation checks. Google sign-in unit-tested with fakes only. Logged from the note</t>
        </is>
      </c>
      <c r="E39" s="16" t="inlineStr"/>
    </row>
    <row r="40">
      <c r="A40" s="16" t="inlineStr">
        <is>
          <t>2026-10-15</t>
        </is>
      </c>
      <c r="B40" s="16" t="inlineStr">
        <is>
          <t>R-11, R-17</t>
        </is>
      </c>
      <c r="C40" s="16" t="inlineStr">
        <is>
          <t>Release pack: brand assets, store screenshots, release config guards, store copy, runbook, SQL harness</t>
        </is>
      </c>
      <c r="D40" s="16" t="inlineStr">
        <is>
          <t>Per docs/agent-notes/release-pack.md: releaseAssets (7) + releaseConfig (11) tests; SQL run in a throwaway PostgreSQL 16. Logged from the note</t>
        </is>
      </c>
      <c r="E40" s="16" t="n">
        <v>676</v>
      </c>
    </row>
    <row r="41">
      <c r="A41" s="16" t="inlineStr">
        <is>
          <t>2026-10-16</t>
        </is>
      </c>
      <c r="B41" s="16" t="inlineStr">
        <is>
          <t>(robustness, no row)</t>
        </is>
      </c>
      <c r="C41" s="16" t="inlineStr">
        <is>
          <t>Stored and received data of the wrong shape never crashes a screen or becomes NaN; a failed read is never saved over data; backup restore all-or-nothing</t>
        </is>
      </c>
      <c r="D41" s="16" t="inlineStr">
        <is>
          <t>Per docs/agent-notes/mobile-robustness.md: corruptData.test.mts (170) with four mutation checks; corrupt-data web smoke over every route x 5 variants = 0</t>
        </is>
      </c>
      <c r="E41" s="16" t="n">
        <v>846</v>
      </c>
    </row>
    <row r="42">
      <c r="A42" s="16" t="inlineStr">
        <is>
          <t>2026-10-17</t>
        </is>
      </c>
      <c r="B42" s="16" t="inlineStr">
        <is>
          <t>P-07, R-11, R-06, A-02, A-05, A-06</t>
        </is>
      </c>
      <c r="C42" s="16" t="inlineStr">
        <is>
          <t>Cross-links (Budget to Forecast, Goals to Life goals, Portfolio to Growth, Insurance to hub, Watchlist rows to research, feedback on the Money Score); Home facts strip and honest greeting; assumed ages removed; Budget / Goals input clipping and Portfolio title wrap fixed; privacy line for kept-aside values; Hindi first pass; tracker rows audited against the code</t>
        </is>
      </c>
      <c r="D42" s="16" t="inlineStr">
        <is>
          <t>persona.test.mts (new), privacy and logic tests extended with mutation checks; tsc clean; Playwright run of each new link at 430 px; smoke-routes and theme-audit on the changed screens (see docs/agent-notes/mobile-polish.md). Web preview only, nothing on a device</t>
        </is>
      </c>
      <c r="E42" s="16" t="inlineStr">
        <is>
          <t>952</t>
        </is>
      </c>
    </row>
    <row r="43">
      <c r="A43" s="16" t="inlineStr">
        <is>
          <t>2026-10-17</t>
        </is>
      </c>
      <c r="B43" s="16" t="inlineStr">
        <is>
          <t>L-22, L-24..L-51</t>
        </is>
      </c>
      <c r="C43" s="16" t="inlineStr">
        <is>
          <t>Learn wave 2: 5 new lessons (mindset-sim case studies, impact stories, decision, clarity, life-wealth), line provenance on every quoted passage, honest stub pages for the 22 interactive website pages (hub / redirect / not on the phone, each with its reason). Merged from docs/agent-notes/learn2.md.</t>
        </is>
      </c>
      <c r="D43" s="16" t="inlineStr">
        <is>
          <t>learn2.test.mts (9), learn.test.mts; extract-learn.py --check; smoke on the new routes (per the note, not re-run for each)</t>
        </is>
      </c>
      <c r="E43" s="16" t="n"/>
    </row>
    <row r="44">
      <c r="A44" s="16" t="inlineStr">
        <is>
          <t>2026-10-17</t>
        </is>
      </c>
      <c r="B44" s="16" t="inlineStr">
        <is>
          <t>A-02..A-06, A-09</t>
        </is>
      </c>
      <c r="C44" s="16" t="inlineStr">
        <is>
          <t>Arya Plan / Map / Life / Cal / India / Agent tabs, 44-tool visible tool loop, PULSE 17 of 27, net-worth history. A-09 not built (reasons). Merged from docs/agent-notes/arya-tabs.md.</t>
        </is>
      </c>
      <c r="D44" s="16" t="inlineStr">
        <is>
          <t>aryaIntent, aryaToolbox, aryaServerTools, aryaAgent, aryaTabs tests; smoke 8 screens x 4 runs 0 problems (per the note)</t>
        </is>
      </c>
      <c r="E44" s="16" t="n"/>
    </row>
    <row r="45">
      <c r="A45" s="16" t="inlineStr">
        <is>
          <t>2026-10-17</t>
        </is>
      </c>
      <c r="B45" s="16" t="inlineStr">
        <is>
          <t>M-07, M-08, M-09, M-14, M-16, M-17, M-18, M-20, S-04..S-07</t>
        </is>
      </c>
      <c r="C45" s="16" t="inlineStr">
        <is>
          <t>Crypto / commodity / forex detail with history, Market map, Options calculator, Portfolio analytics (sectors and treemap, risk, simulation, research), screener filters. M-17 and M-20 not built (static placeholders / mock-up). Merged from docs/agent-notes/portfolio-analytics.md.</t>
        </is>
      </c>
      <c r="D45" s="16" t="inlineStr">
        <is>
          <t>Parity tests against the website's own functions in a vm (per the note); smoke per the note</t>
        </is>
      </c>
      <c r="E45" s="16" t="n"/>
    </row>
    <row r="46">
      <c r="A46" s="16" t="inlineStr">
        <is>
          <t>2026-10-17</t>
        </is>
      </c>
      <c r="B46" s="16" t="inlineStr">
        <is>
          <t>S-09</t>
        </is>
      </c>
      <c r="C46" s="16" t="inlineStr">
        <is>
          <t>Trade journal: log, analytics, psychology counts, CSV / broker / backup import with undo, export; device-only from sync. OCR not built. Merged from docs/agent-notes/trade-journal.md.</t>
        </is>
      </c>
      <c r="D46" s="16" t="inlineStr">
        <is>
          <t>tradeJournal (39), tradeJournalImport (12), tradeJournal.parity (20: 12 pass, 8 todo = website defects); mutation checks</t>
        </is>
      </c>
      <c r="E46" s="16" t="n"/>
    </row>
    <row r="47">
      <c r="A47" s="16" t="inlineStr">
        <is>
          <t>2026-10-17</t>
        </is>
      </c>
      <c r="B47" s="16" t="inlineStr">
        <is>
          <t>(final integration, no row)</t>
        </is>
      </c>
      <c r="C47" s="16" t="inlineStr">
        <is>
          <t>Shared files: search entries + index guard, privacy notice and data inventory, Hindi first pass, route samples, Home / Portfolio links. Health score no longer computed from no data (Not enough data; only recorded areas scored, missing named). Safe-area insets, screen-title headings, dark purple text, 200% layout fixes. See docs/agent-notes/final-integration.md.</t>
        </is>
      </c>
      <c r="D47" s="16" t="inlineStr">
        <is>
          <t>npm test + tsc + smoke-routes + theme-audit on a fresh Metro (see the note); nothing on a device</t>
        </is>
      </c>
      <c r="E47" s="16" t="n">
        <v>1057</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8" customWidth="1" style="16" min="1" max="1"/>
    <col width="120" customWidth="1" style="16" min="2" max="2"/>
  </cols>
  <sheetData>
    <row r="1" ht="15" customHeight="1" s="17">
      <c r="A1" s="31" t="inlineStr">
        <is>
          <t>Term</t>
        </is>
      </c>
      <c r="B1" s="31" t="inlineStr">
        <is>
          <t>Meaning</t>
        </is>
      </c>
    </row>
    <row r="2" ht="23.25" customHeight="1" s="17">
      <c r="A2" s="30" t="inlineStr">
        <is>
          <t>Phone status</t>
        </is>
      </c>
      <c r="B2" s="30" t="inlineStr">
        <is>
          <t>Done = built, tested, verified in the preview. Partial = part of the website feature exists. Pending = not started. Blocked = needs something only the owner can provide. Not planned = deliberately left out.</t>
        </is>
      </c>
    </row>
    <row r="3" ht="15" customHeight="1" s="17">
      <c r="A3" s="30" t="inlineStr">
        <is>
          <t>Priority</t>
        </is>
      </c>
      <c r="B3" s="30" t="inlineStr">
        <is>
          <t>P0 release blocker · P1 high value for daily use · P2 useful · P3 long tail</t>
        </is>
      </c>
    </row>
    <row r="4" ht="15" customHeight="1" s="17">
      <c r="A4" s="30" t="inlineStr">
        <is>
          <t>Effort</t>
        </is>
      </c>
      <c r="B4" s="30" t="inlineStr">
        <is>
          <t>S = under a day · M = one to three days · L = more than three days (rough, for ordering only)</t>
        </is>
      </c>
    </row>
    <row r="5" ht="15" customHeight="1" s="17">
      <c r="A5" s="30" t="inlineStr">
        <is>
          <t>Build order</t>
        </is>
      </c>
      <c r="B5" s="30" t="inlineStr">
        <is>
          <t>1 = owner actions that unblock everything · 2 = store-required screens · 3 onward = the next ports, top to bottom</t>
        </is>
      </c>
    </row>
    <row r="6" ht="23.25" customHeight="1" s="17">
      <c r="A6" s="30" t="inlineStr">
        <is>
          <t>Done means</t>
        </is>
      </c>
      <c r="B6" s="30" t="inlineStr">
        <is>
          <t>Pure logic ported with a parity test against the website's own module, storage covered by tests, and the screen exercised in the browser preview. Not yet run on a physical device.</t>
        </is>
      </c>
    </row>
    <row r="7" ht="15" customHeight="1" s="17">
      <c r="A7" s="30" t="inlineStr">
        <is>
          <t>Editing</t>
        </is>
      </c>
      <c r="B7" s="30" t="inlineStr">
        <is>
          <t>Change 'Phone status' with the dropdown; the Summary and Build order sheets recalculate.</t>
        </is>
      </c>
    </row>
    <row r="8" ht="15" customHeight="1" s="17">
      <c r="A8" s="30" t="inlineStr">
        <is>
          <t>Source</t>
        </is>
      </c>
      <c r="B8" s="30" t="inlineStr">
        <is>
          <t>Counts come from files on disk on 2026-10-12: 123 pages in html/, 90 calculators, 30 Command Hub entries in js/finos-search.js.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2026-10-11T10:07:52Z</dcterms:created>
  <dcterms:modified xmlns:dcterms="http://purl.org/dc/terms/" xmlns:xsi="http://www.w3.org/2001/XMLSchema-instance" xsi:type="dcterms:W3CDTF">2026-10-17T11:49:09Z</dcterms:modified>
  <cp:revision>0</cp:revision>
</cp:coreProperties>
</file>