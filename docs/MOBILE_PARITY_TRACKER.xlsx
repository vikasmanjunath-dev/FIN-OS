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arity Tracker" sheetId="2" state="visible" r:id="rId4"/>
    <sheet name="Build order" sheetId="3" state="visible" r:id="rId5"/>
    <sheet name="Build log" sheetId="4" state="visible" r:id="rId6"/>
    <sheet name="Legend" sheetId="5" state="visible" r:id="rId7"/>
  </sheets>
  <definedNames>
    <definedName function="false" hidden="true" localSheetId="1" name="_xlnm._FilterDatabase" vbProcedure="false">'Parity Tracker'!$A$1:$K$255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<sst xmlns="http://schemas.openxmlformats.org/spreadsheetml/2006/main" count="2614" uniqueCount="1162">
  <si>
    <t xml:space="preserve">FIN·OS phone app — parity with the website</t>
  </si>
  <si>
    <t xml:space="preserve">Source of truth: the 'Parity Tracker' sheet. Counts below are formulas. Last built 2026-10-12.</t>
  </si>
  <si>
    <t xml:space="preserve">Area</t>
  </si>
  <si>
    <t xml:space="preserve">Done</t>
  </si>
  <si>
    <t xml:space="preserve">Partial</t>
  </si>
  <si>
    <t xml:space="preserve">Pending</t>
  </si>
  <si>
    <t xml:space="preserve">Blocked</t>
  </si>
  <si>
    <t xml:space="preserve">Not planned</t>
  </si>
  <si>
    <t xml:space="preserve">Total</t>
  </si>
  <si>
    <t xml:space="preserve">% done (of planned)</t>
  </si>
  <si>
    <t xml:space="preserve">Trackers &amp; planners</t>
  </si>
  <si>
    <t xml:space="preserve">Calculators</t>
  </si>
  <si>
    <t xml:space="preserve">Learning &amp; education</t>
  </si>
  <si>
    <t xml:space="preserve">Markets &amp; research</t>
  </si>
  <si>
    <t xml:space="preserve">Portfolio &amp; standalone apps</t>
  </si>
  <si>
    <t xml:space="preserve">Arya AI</t>
  </si>
  <si>
    <t xml:space="preserve">Platform &amp; account</t>
  </si>
  <si>
    <t xml:space="preserve">Release readiness</t>
  </si>
  <si>
    <t xml:space="preserve">All areas</t>
  </si>
  <si>
    <t xml:space="preserve">Open work by priority</t>
  </si>
  <si>
    <t xml:space="preserve">Priority</t>
  </si>
  <si>
    <t xml:space="preserve">Not done yet (Partial + Pending + Blocked)</t>
  </si>
  <si>
    <t xml:space="preserve">Meaning</t>
  </si>
  <si>
    <t xml:space="preserve">P0</t>
  </si>
  <si>
    <t xml:space="preserve">Release blockers — cannot ship without these</t>
  </si>
  <si>
    <t xml:space="preserve">P1</t>
  </si>
  <si>
    <t xml:space="preserve">High value for daily use</t>
  </si>
  <si>
    <t xml:space="preserve">P2</t>
  </si>
  <si>
    <t xml:space="preserve">Useful, after P1</t>
  </si>
  <si>
    <t xml:space="preserve">P3</t>
  </si>
  <si>
    <t xml:space="preserve">Long tail / nice to have</t>
  </si>
  <si>
    <t xml:space="preserve">How to read '% done': Done counts 1, Partial counts 0.5, Not planned is left out of the denominator.</t>
  </si>
  <si>
    <t xml:space="preserve">Counts are of rows in the tracker, not of effort: one row can be a 30-minute port or a multi-day feature (see Effort).</t>
  </si>
  <si>
    <t xml:space="preserve">ID</t>
  </si>
  <si>
    <t xml:space="preserve">Feature</t>
  </si>
  <si>
    <t xml:space="preserve">Website source</t>
  </si>
  <si>
    <t xml:space="preserve">Phone status</t>
  </si>
  <si>
    <t xml:space="preserve">Effort</t>
  </si>
  <si>
    <t xml:space="preserve">Build order</t>
  </si>
  <si>
    <t xml:space="preserve">Planned phone location</t>
  </si>
  <si>
    <t xml:space="preserve">Notes</t>
  </si>
  <si>
    <t xml:space="preserve">Updated</t>
  </si>
  <si>
    <t xml:space="preserve">T-01</t>
  </si>
  <si>
    <t xml:space="preserve">Portfolio Growth Simulator</t>
  </si>
  <si>
    <t xml:space="preserve">html/portfolio.html</t>
  </si>
  <si>
    <t xml:space="preserve">M</t>
  </si>
  <si>
    <t xml:space="preserve">tools/…</t>
  </si>
  <si>
    <t xml:space="preserve">2026-10-12</t>
  </si>
  <si>
    <t xml:space="preserve">T-02</t>
  </si>
  <si>
    <t xml:space="preserve">Budget Forecast (pace, AI forecast)</t>
  </si>
  <si>
    <t xml:space="preserve">html/budget-forecast.html</t>
  </si>
  <si>
    <t xml:space="preserve">tracker/budget</t>
  </si>
  <si>
    <t xml:space="preserve">Category limits, pace and suggestions are done; the forecast view is not</t>
  </si>
  <si>
    <t xml:space="preserve">T-03</t>
  </si>
  <si>
    <t xml:space="preserve">Subscription Tracker</t>
  </si>
  <si>
    <t xml:space="preserve">html/subscription-tracker.html</t>
  </si>
  <si>
    <t xml:space="preserve">tracker/subscriptions</t>
  </si>
  <si>
    <t xml:space="preserve">Parity-tested against js/finos-subscriptions.js</t>
  </si>
  <si>
    <t xml:space="preserve">T-04</t>
  </si>
  <si>
    <t xml:space="preserve">Credit Score Tracker</t>
  </si>
  <si>
    <t xml:space="preserve">html/credit-score.html</t>
  </si>
  <si>
    <t xml:space="preserve">S</t>
  </si>
  <si>
    <t xml:space="preserve">tools/credit</t>
  </si>
  <si>
    <t xml:space="preserve">CIBIL band, home-loan rate impact, ranked improvement tips; nothing assumed when a figure was not typed; parity-tested vs js/finos-credit-score.js</t>
  </si>
  <si>
    <t xml:space="preserve">T-05</t>
  </si>
  <si>
    <t xml:space="preserve">Crypto Tracker</t>
  </si>
  <si>
    <t xml:space="preserve">html/crypto-tracker.html</t>
  </si>
  <si>
    <t xml:space="preserve">tracker/crypto</t>
  </si>
  <si>
    <t xml:space="preserve">Holdings, P&amp;L, 31.2% tax on each coin's gain, 1% TDS what-if; prices are typed (never fetched); parity-tested vs js/finos-crypto-tracker.js</t>
  </si>
  <si>
    <t xml:space="preserve">T-06</t>
  </si>
  <si>
    <t xml:space="preserve">Debt Optimizer (avalanche / snowball)</t>
  </si>
  <si>
    <t xml:space="preserve">html/debt-optimizer.html</t>
  </si>
  <si>
    <t xml:space="preserve">tools/debt</t>
  </si>
  <si>
    <t xml:space="preserve">Avalanche vs snowball + home-loan prepayment impact; shares balances with Net Worth; parity-tested vs js/finos-debt-optimizer.js</t>
  </si>
  <si>
    <t xml:space="preserve">T-07</t>
  </si>
  <si>
    <t xml:space="preserve">Emergency Fund Tracker</t>
  </si>
  <si>
    <t xml:space="preserve">html/emergency-fund.html</t>
  </si>
  <si>
    <t xml:space="preserve">tracker/emergency</t>
  </si>
  <si>
    <t xml:space="preserve">T-08</t>
  </si>
  <si>
    <t xml:space="preserve">EPF Tracker</t>
  </si>
  <si>
    <t xml:space="preserve">html/epf-tracker.html</t>
  </si>
  <si>
    <t xml:space="preserve">tracker/epf</t>
  </si>
  <si>
    <t xml:space="preserve">T-09</t>
  </si>
  <si>
    <t xml:space="preserve">Fixed Income (FD) Tracker</t>
  </si>
  <si>
    <t xml:space="preserve">html/fd-tracker.html</t>
  </si>
  <si>
    <t xml:space="preserve">tracker/fixed</t>
  </si>
  <si>
    <t xml:space="preserve">FD, RD, PPF, NSC, SCSS, Sukanya, bonds, post office; same finos_fd_portfolio key as the web; parity-tested; RD 0% division guarded</t>
  </si>
  <si>
    <t xml:space="preserve">T-10</t>
  </si>
  <si>
    <t xml:space="preserve">Financial Calendar (+ reminders)</t>
  </si>
  <si>
    <t xml:space="preserve">html/financial-calendar.html</t>
  </si>
  <si>
    <t xml:space="preserve">L</t>
  </si>
  <si>
    <t xml:space="preserve">tools/calendar</t>
  </si>
  <si>
    <t xml:space="preserve">Month grid, day detail, coming-up list, summary cards: SIP, deposit maturities (real terms), insurance, goals, subscriptions, tax dates; parity-tested. Phone notifications NOT built: need an OS notification permission, which the privacy guard test currently forbids (owner decision).</t>
  </si>
  <si>
    <t xml:space="preserve">T-11</t>
  </si>
  <si>
    <t xml:space="preserve">Financial Command Hub</t>
  </si>
  <si>
    <t xml:space="preserve">html/financial-hub.html</t>
  </si>
  <si>
    <t xml:space="preserve">Dashboard + Track tab already do this job</t>
  </si>
  <si>
    <t xml:space="preserve">T-12</t>
  </si>
  <si>
    <t xml:space="preserve">Goal Optimizer</t>
  </si>
  <si>
    <t xml:space="preserve">html/goal-optimizer.html</t>
  </si>
  <si>
    <t xml:space="preserve">tools/goalopt (from Goals)</t>
  </si>
  <si>
    <t xml:space="preserve">Inflation-adjusted SIP per goal, priority score, feasibility vs what you can invest, competing-goal conflicts; parity-tested vs js/finos-goal-optimizer.js. Website corrected in the same pass: saved money compounds as today's rupees (it was taken as a % of the inflated target, counting inflation twice).</t>
  </si>
  <si>
    <t xml:space="preserve">T-13</t>
  </si>
  <si>
    <t xml:space="preserve">Gold Tracker</t>
  </si>
  <si>
    <t xml:space="preserve">html/gold-tracker.html</t>
  </si>
  <si>
    <t xml:space="preserve">tracker/gold</t>
  </si>
  <si>
    <t xml:space="preserve">Physical, SGB, gold ETF, gold MF; user-typed price only (no invented rate); coupon; parity-tested vs js/finos-gold-tracker.js</t>
  </si>
  <si>
    <t xml:space="preserve">T-14</t>
  </si>
  <si>
    <t xml:space="preserve">Home Loan EMI Planner</t>
  </si>
  <si>
    <t xml:space="preserve">html/home-loan.html</t>
  </si>
  <si>
    <t xml:space="preserve">tools/homeloan</t>
  </si>
  <si>
    <t xml:space="preserve">EMI, amortisation, affordability, 24(b)/80C deductions, prepayment impact; parity-tested. Website's PMAY-CLSS 'eligible' banner deliberately not ported (scheme bands ended); writes loan keys only on 'Save as my home loan'.</t>
  </si>
  <si>
    <t xml:space="preserve">T-15</t>
  </si>
  <si>
    <t xml:space="preserve">Insurance Hub (directory, compare)</t>
  </si>
  <si>
    <t xml:space="preserve">html/insurance-hub.html</t>
  </si>
  <si>
    <t xml:space="preserve">tracker/insurance</t>
  </si>
  <si>
    <t xml:space="preserve">Policies, gaps and renewals are done; directory/compare is not</t>
  </si>
  <si>
    <t xml:space="preserve">T-16</t>
  </si>
  <si>
    <t xml:space="preserve">ITR Filing Prep Kit</t>
  </si>
  <si>
    <t xml:space="preserve">html/itr-summary.html</t>
  </si>
  <si>
    <t xml:space="preserve">tools/itr (from Tax planner)</t>
  </si>
  <si>
    <t xml:space="preserve">Income, 80C itemised, 80CCD/80D/24(b)/80E/80TTA, both regimes, TDS and balance/refund; the calculation is sliced unchanged from js/finos-itr-summary.js and parity-tested; figures live under the website's keys. Capital gains and surcharge are not in this worksheet (the Tax Planner has them).</t>
  </si>
  <si>
    <t xml:space="preserve">T-17</t>
  </si>
  <si>
    <t xml:space="preserve">Life Insurance Need Calculator</t>
  </si>
  <si>
    <t xml:space="preserve">html/life-cover.html</t>
  </si>
  <si>
    <t xml:space="preserve">tools/lifecover (from Insurance)</t>
  </si>
  <si>
    <t xml:space="preserve">Human life value + income replacement + debts − existing cover, status band, rough premium illustration; parity-tested vs js/finos-life-cover.js; prefilled from income, spending, policies and loans.</t>
  </si>
  <si>
    <t xml:space="preserve">T-18</t>
  </si>
  <si>
    <t xml:space="preserve">Life Goals Planner</t>
  </si>
  <si>
    <t xml:space="preserve">html/life-goals-planner.html</t>
  </si>
  <si>
    <t xml:space="preserve">tracker/goals</t>
  </si>
  <si>
    <t xml:space="preserve">T-19</t>
  </si>
  <si>
    <t xml:space="preserve">Mutual Fund Intelligence</t>
  </si>
  <si>
    <t xml:space="preserve">html/mf-intelligence.html</t>
  </si>
  <si>
    <t xml:space="preserve">markets/mf</t>
  </si>
  <si>
    <t xml:space="preserve">T-20</t>
  </si>
  <si>
    <t xml:space="preserve">Net Worth Tracker</t>
  </si>
  <si>
    <t xml:space="preserve">html/net-worth.html</t>
  </si>
  <si>
    <t xml:space="preserve">tracker/networth</t>
  </si>
  <si>
    <t xml:space="preserve">T-21</t>
  </si>
  <si>
    <t xml:space="preserve">NPS Tracker</t>
  </si>
  <si>
    <t xml:space="preserve">html/nps-tracker.html</t>
  </si>
  <si>
    <t xml:space="preserve">tracker/nps</t>
  </si>
  <si>
    <t xml:space="preserve">T-22</t>
  </si>
  <si>
    <t xml:space="preserve">Passive Income Tracker</t>
  </si>
  <si>
    <t xml:space="preserve">html/passive-income.html</t>
  </si>
  <si>
    <t xml:space="preserve">tracker/passive</t>
  </si>
  <si>
    <t xml:space="preserve">Streams (dividend, FD, rental, SWP, SGB, other), coverage of monthly spending, freedom milestones, what-if, extra corpus at 4%; totals parity-tested vs js/finos-passive-income.js; FD/SGB seed lines are labelled as estimates.</t>
  </si>
  <si>
    <t xml:space="preserve">T-23</t>
  </si>
  <si>
    <t xml:space="preserve">Portfolio Rebalancer</t>
  </si>
  <si>
    <t xml:space="preserve">html/portfolio-rebalancer.html</t>
  </si>
  <si>
    <t xml:space="preserve">tools/rebalance</t>
  </si>
  <si>
    <t xml:space="preserve">Six asset classes from the other trackers, target presets + editor, drift and action per class, new-money split; parity-tested vs js/finos-rebalancer.js. Differences: empty portfolio is not flagged, property and govt savings are advised as 'send new money elsewhere'.</t>
  </si>
  <si>
    <t xml:space="preserve">T-24</t>
  </si>
  <si>
    <t xml:space="preserve">PPF &amp; Small Savings Tracker</t>
  </si>
  <si>
    <t xml:space="preserve">html/ppf-tracker.html</t>
  </si>
  <si>
    <t xml:space="preserve">tracker/ppf</t>
  </si>
  <si>
    <t xml:space="preserve">T-25</t>
  </si>
  <si>
    <t xml:space="preserve">Real Estate Intelligence</t>
  </si>
  <si>
    <t xml:space="preserve">html/real-estate.html</t>
  </si>
  <si>
    <t xml:space="preserve">tools/real-estate</t>
  </si>
  <si>
    <t xml:space="preserve">T-26</t>
  </si>
  <si>
    <t xml:space="preserve">Retirement Planner (Monte Carlo success odds)</t>
  </si>
  <si>
    <t xml:space="preserve">html/retirement-planner.html</t>
  </si>
  <si>
    <t xml:space="preserve">tools/retirement</t>
  </si>
  <si>
    <t xml:space="preserve">Built: corpus by source, 25× need, gap, income, Monte Carlo odds, fan chart, SIP solver. Engine identical to js/finos-montecarlo.js (40 random configs) and plan arithmetic identical on 400 random profiles.</t>
  </si>
  <si>
    <t xml:space="preserve">T-27</t>
  </si>
  <si>
    <t xml:space="preserve">Salary Optimizer (CTC restructure)</t>
  </si>
  <si>
    <t xml:space="preserve">html/salary-optimizer.html</t>
  </si>
  <si>
    <t xml:space="preserve">tools/salary</t>
  </si>
  <si>
    <t xml:space="preserve">CTC breakup → gross, HRA three-way minimum, tax in both regimes, take-home, restructuring tips; parity-tested. Take-home becomes income only on tap (the website overwrites finos_monthly_income on every render).</t>
  </si>
  <si>
    <t xml:space="preserve">T-28</t>
  </si>
  <si>
    <t xml:space="preserve">SIP Step-Up Planner</t>
  </si>
  <si>
    <t xml:space="preserve">html/sip-stepup.html</t>
  </si>
  <si>
    <t xml:space="preserve">tools/stepup</t>
  </si>
  <si>
    <t xml:space="preserve">Flat vs stepped-up SIP, scenario cards (5/10/15/20%), corpus chart, year table, milestones; parity-tested vs js/finos-sip-stepup.js incl. out-of-range inputs</t>
  </si>
  <si>
    <t xml:space="preserve">T-29</t>
  </si>
  <si>
    <t xml:space="preserve">Tax Loss / Gain Harvesting</t>
  </si>
  <si>
    <t xml:space="preserve">html/tax-harvest.html</t>
  </si>
  <si>
    <t xml:space="preserve">tools/tax-harvest</t>
  </si>
  <si>
    <t xml:space="preserve">Needs holdings with purchase dates</t>
  </si>
  <si>
    <t xml:space="preserve">T-30</t>
  </si>
  <si>
    <t xml:space="preserve">Bonus &amp; Windfall Allocator</t>
  </si>
  <si>
    <t xml:space="preserve">html/windfall.html</t>
  </si>
  <si>
    <t xml:space="preserve">tools/windfall</t>
  </si>
  <si>
    <t xml:space="preserve">Same waterfall as js/finos-windfall.js (parity-tested on 1,000 households) plus bonus/RSU tax impact; unknown spending is flagged instead of silently assuming ₹50,000; property note updated to the July 2024 rules.</t>
  </si>
  <si>
    <t xml:space="preserve">T-31</t>
  </si>
  <si>
    <t xml:space="preserve">Tax (regime compare, Tax Savings Tracker, Tax Planner)</t>
  </si>
  <si>
    <t xml:space="preserve">html/tax.html</t>
  </si>
  <si>
    <t xml:space="preserve">tools/tax + tools/taxplanner</t>
  </si>
  <si>
    <t xml:space="preserve">Savings tracker (headroom per section) and the full Tax Planner (both regimes with surcharge, HRA, 80C/80D/NPS/24(b), LTCG/STCG, action list); parity-tested vs js/finos-tax-calc.js. Web surcharge fixed in the same pass (taxable income, new-regime top rate 25%).</t>
  </si>
  <si>
    <t xml:space="preserve">T-32</t>
  </si>
  <si>
    <t xml:space="preserve">Money Score</t>
  </si>
  <si>
    <t xml:space="preserve">html/money-score.html</t>
  </si>
  <si>
    <t xml:space="preserve">tools/score</t>
  </si>
  <si>
    <t xml:space="preserve">Parity-tested against js/finos-money-score.js</t>
  </si>
  <si>
    <t xml:space="preserve">T-33</t>
  </si>
  <si>
    <t xml:space="preserve">Future Loss / System Leak</t>
  </si>
  <si>
    <t xml:space="preserve">html/system-leak.html</t>
  </si>
  <si>
    <t xml:space="preserve">tools/leak</t>
  </si>
  <si>
    <t xml:space="preserve">Monthly leak from the ledger + subscriptions, 10/20/30-year future value, redirect share; parity-tested vs js/finos-leak.js</t>
  </si>
  <si>
    <t xml:space="preserve">T-34</t>
  </si>
  <si>
    <t xml:space="preserve">Import bank statement</t>
  </si>
  <si>
    <t xml:space="preserve">html/import-statement.html</t>
  </si>
  <si>
    <t xml:space="preserve">tracker/import</t>
  </si>
  <si>
    <t xml:space="preserve">T-35</t>
  </si>
  <si>
    <t xml:space="preserve">Budget &amp; transactions (track finances)</t>
  </si>
  <si>
    <t xml:space="preserve">html/track-finances.html</t>
  </si>
  <si>
    <t xml:space="preserve">tracker/budget + transactions</t>
  </si>
  <si>
    <t xml:space="preserve">Quick-log and recurring entries are phone-only extras</t>
  </si>
  <si>
    <t xml:space="preserve">T-36</t>
  </si>
  <si>
    <t xml:space="preserve">Financial Health Score (7 pillars)</t>
  </si>
  <si>
    <t xml:space="preserve">js/finos-health-score.js</t>
  </si>
  <si>
    <t xml:space="preserve">tracker/health</t>
  </si>
  <si>
    <t xml:space="preserve">T-37</t>
  </si>
  <si>
    <t xml:space="preserve">Financial Report</t>
  </si>
  <si>
    <t xml:space="preserve">html/financial-report.html</t>
  </si>
  <si>
    <t xml:space="preserve">tools/report</t>
  </si>
  <si>
    <t xml:space="preserve">T-38</t>
  </si>
  <si>
    <t xml:space="preserve">Couple Finance</t>
  </si>
  <si>
    <t xml:space="preserve">html/couple-finance.html</t>
  </si>
  <si>
    <t xml:space="preserve">tools/couple</t>
  </si>
  <si>
    <t xml:space="preserve">Needs the couple_* Supabase tables</t>
  </si>
  <si>
    <t xml:space="preserve">T-39</t>
  </si>
  <si>
    <t xml:space="preserve">Benchmarking (vs similar profiles)</t>
  </si>
  <si>
    <t xml:space="preserve">html/benchmarking.html</t>
  </si>
  <si>
    <t xml:space="preserve">tools/benchmark</t>
  </si>
  <si>
    <t xml:space="preserve">T-40</t>
  </si>
  <si>
    <t xml:space="preserve">Document AI (upload and extract)</t>
  </si>
  <si>
    <t xml:space="preserve">html/document-ai.html</t>
  </si>
  <si>
    <t xml:space="preserve">tools/documents</t>
  </si>
  <si>
    <t xml:space="preserve">Backend: document-ai service</t>
  </si>
  <si>
    <t xml:space="preserve">C-01</t>
  </si>
  <si>
    <t xml:space="preserve">Banking &amp; Fixed Income — bond</t>
  </si>
  <si>
    <t xml:space="preserve">calculators/banking &amp; fixed income/bond.html</t>
  </si>
  <si>
    <t xml:space="preserve">calculators/bond</t>
  </si>
  <si>
    <t xml:space="preserve">Pure formula; port + parity test</t>
  </si>
  <si>
    <t xml:space="preserve">C-02</t>
  </si>
  <si>
    <t xml:space="preserve">Banking &amp; Fixed Income — epf</t>
  </si>
  <si>
    <t xml:space="preserve">calculators/banking &amp; fixed income/epf.html</t>
  </si>
  <si>
    <t xml:space="preserve">calculators/epf</t>
  </si>
  <si>
    <t xml:space="preserve">C-03</t>
  </si>
  <si>
    <t xml:space="preserve">Banking &amp; Fixed Income — fd</t>
  </si>
  <si>
    <t xml:space="preserve">calculators/banking &amp; fixed income/fd.html</t>
  </si>
  <si>
    <t xml:space="preserve">calculators/fd</t>
  </si>
  <si>
    <t xml:space="preserve">C-04</t>
  </si>
  <si>
    <t xml:space="preserve">Banking &amp; Fixed Income — nps</t>
  </si>
  <si>
    <t xml:space="preserve">calculators/banking &amp; fixed income/nps.html</t>
  </si>
  <si>
    <t xml:space="preserve">calculators/nps</t>
  </si>
  <si>
    <t xml:space="preserve">C-05</t>
  </si>
  <si>
    <t xml:space="preserve">Banking &amp; Fixed Income — postoffice</t>
  </si>
  <si>
    <t xml:space="preserve">calculators/banking &amp; fixed income/postoffice.html</t>
  </si>
  <si>
    <t xml:space="preserve">calculators/postoffice</t>
  </si>
  <si>
    <t xml:space="preserve">C-06</t>
  </si>
  <si>
    <t xml:space="preserve">Banking &amp; Fixed Income — ppf</t>
  </si>
  <si>
    <t xml:space="preserve">calculators/banking &amp; fixed income/ppf.html</t>
  </si>
  <si>
    <t xml:space="preserve">calculators/ppf</t>
  </si>
  <si>
    <t xml:space="preserve">C-07</t>
  </si>
  <si>
    <t xml:space="preserve">Banking &amp; Fixed Income — rd</t>
  </si>
  <si>
    <t xml:space="preserve">calculators/banking &amp; fixed income/rd.html</t>
  </si>
  <si>
    <t xml:space="preserve">calculators/rd</t>
  </si>
  <si>
    <t xml:space="preserve">C-08</t>
  </si>
  <si>
    <t xml:space="preserve">Banking &amp; Fixed Income — savingsinvestment</t>
  </si>
  <si>
    <t xml:space="preserve">calculators/banking &amp; fixed income/savingsinvestment.html</t>
  </si>
  <si>
    <t xml:space="preserve">calculators/savingsinvestment</t>
  </si>
  <si>
    <t xml:space="preserve">C-09</t>
  </si>
  <si>
    <t xml:space="preserve">Banking &amp; Fixed Income — scss</t>
  </si>
  <si>
    <t xml:space="preserve">calculators/banking &amp; fixed income/scss.html</t>
  </si>
  <si>
    <t xml:space="preserve">calculators/scss</t>
  </si>
  <si>
    <t xml:space="preserve">C-10</t>
  </si>
  <si>
    <t xml:space="preserve">Banking &amp; Fixed Income — ssy</t>
  </si>
  <si>
    <t xml:space="preserve">calculators/banking &amp; fixed income/ssy.html</t>
  </si>
  <si>
    <t xml:space="preserve">calculators/ssy</t>
  </si>
  <si>
    <t xml:space="preserve">C-11</t>
  </si>
  <si>
    <t xml:space="preserve">Core-Thinking — compounding-visualizer</t>
  </si>
  <si>
    <t xml:space="preserve">calculators/core-thinking/compounding-visualizer.html</t>
  </si>
  <si>
    <t xml:space="preserve">calculators/compounding-visualizer</t>
  </si>
  <si>
    <t xml:space="preserve">C-12</t>
  </si>
  <si>
    <t xml:space="preserve">Core-Thinking — financial-age-calculator</t>
  </si>
  <si>
    <t xml:space="preserve">calculators/core-thinking/financial-age-calculator.html</t>
  </si>
  <si>
    <t xml:space="preserve">calculators/financial-age-calculator</t>
  </si>
  <si>
    <t xml:space="preserve">C-13</t>
  </si>
  <si>
    <t xml:space="preserve">Core-Thinking — inflation-impact</t>
  </si>
  <si>
    <t xml:space="preserve">calculators/core-thinking/inflation-impact.html</t>
  </si>
  <si>
    <t xml:space="preserve">calculators/inflation-impact</t>
  </si>
  <si>
    <t xml:space="preserve">C-14</t>
  </si>
  <si>
    <t xml:space="preserve">Core-Thinking — money-behavior-analyzer</t>
  </si>
  <si>
    <t xml:space="preserve">calculators/core-thinking/money-behavior-analyzer.html</t>
  </si>
  <si>
    <t xml:space="preserve">calculators/money-behavior-analyzer</t>
  </si>
  <si>
    <t xml:space="preserve">C-15</t>
  </si>
  <si>
    <t xml:space="preserve">Core-Thinking — opportunity-cost</t>
  </si>
  <si>
    <t xml:space="preserve">calculators/core-thinking/opportunity-cost.html</t>
  </si>
  <si>
    <t xml:space="preserve">calculators/opportunity-cost</t>
  </si>
  <si>
    <t xml:space="preserve">C-16</t>
  </si>
  <si>
    <t xml:space="preserve">Core-Thinking — purchasing-power-loss</t>
  </si>
  <si>
    <t xml:space="preserve">calculators/core-thinking/purchasing-power-loss.html</t>
  </si>
  <si>
    <t xml:space="preserve">calculators/purchasing-power-loss</t>
  </si>
  <si>
    <t xml:space="preserve">C-17</t>
  </si>
  <si>
    <t xml:space="preserve">Core-Thinking — real-rate-of-return</t>
  </si>
  <si>
    <t xml:space="preserve">calculators/core-thinking/real-rate-of-return.html</t>
  </si>
  <si>
    <t xml:space="preserve">calculators/real-rate-of-return</t>
  </si>
  <si>
    <t xml:space="preserve">C-18</t>
  </si>
  <si>
    <t xml:space="preserve">Core-Thinking — risk-vs-reward</t>
  </si>
  <si>
    <t xml:space="preserve">calculators/core-thinking/risk-vs-reward.html</t>
  </si>
  <si>
    <t xml:space="preserve">calculators/risk-vs-reward</t>
  </si>
  <si>
    <t xml:space="preserve">C-19</t>
  </si>
  <si>
    <t xml:space="preserve">Core-Thinking — time-value-of-money</t>
  </si>
  <si>
    <t xml:space="preserve">calculators/core-thinking/time-value-of-money.html</t>
  </si>
  <si>
    <t xml:space="preserve">calculators/time-value-of-money</t>
  </si>
  <si>
    <t xml:space="preserve">C-20</t>
  </si>
  <si>
    <t xml:space="preserve">Core-Thinking — wealth-vs-income-gap</t>
  </si>
  <si>
    <t xml:space="preserve">calculators/core-thinking/wealth-vs-income-gap.html</t>
  </si>
  <si>
    <t xml:space="preserve">calculators/wealth-vs-income-gap</t>
  </si>
  <si>
    <t xml:space="preserve">C-21</t>
  </si>
  <si>
    <t xml:space="preserve">Desi Reality Check — buyhouse</t>
  </si>
  <si>
    <t xml:space="preserve">calculators/desi reality check/buyhouse.html</t>
  </si>
  <si>
    <t xml:space="preserve">calculators/buyhouse</t>
  </si>
  <si>
    <t xml:space="preserve">C-22</t>
  </si>
  <si>
    <t xml:space="preserve">Desi Reality Check — childedu</t>
  </si>
  <si>
    <t xml:space="preserve">calculators/desi reality check/childedu.html</t>
  </si>
  <si>
    <t xml:space="preserve">calculators/childedu</t>
  </si>
  <si>
    <t xml:space="preserve">C-23</t>
  </si>
  <si>
    <t xml:space="preserve">Desi Reality Check — creditaddiction</t>
  </si>
  <si>
    <t xml:space="preserve">calculators/desi reality check/creditaddiction.html</t>
  </si>
  <si>
    <t xml:space="preserve">calculators/creditaddiction</t>
  </si>
  <si>
    <t xml:space="preserve">C-24</t>
  </si>
  <si>
    <t xml:space="preserve">Desi Reality Check — emidiease</t>
  </si>
  <si>
    <t xml:space="preserve">calculators/desi reality check/emidiease.html</t>
  </si>
  <si>
    <t xml:space="preserve">calculators/emidiease</t>
  </si>
  <si>
    <t xml:space="preserve">C-25</t>
  </si>
  <si>
    <t xml:space="preserve">Desi Reality Check — govvspvt</t>
  </si>
  <si>
    <t xml:space="preserve">calculators/desi reality check/govvspvt.html</t>
  </si>
  <si>
    <t xml:space="preserve">calculators/govvspvt</t>
  </si>
  <si>
    <t xml:space="preserve">C-26</t>
  </si>
  <si>
    <t xml:space="preserve">Desi Reality Check — lifestyle</t>
  </si>
  <si>
    <t xml:space="preserve">calculators/desi reality check/lifestyle.html</t>
  </si>
  <si>
    <t xml:space="preserve">calculators/lifestyle</t>
  </si>
  <si>
    <t xml:space="preserve">C-27</t>
  </si>
  <si>
    <t xml:space="preserve">Desi Reality Check — logkyakahenge</t>
  </si>
  <si>
    <t xml:space="preserve">calculators/desi reality check/logkyakahenge.html</t>
  </si>
  <si>
    <t xml:space="preserve">calculators/logkyakahenge</t>
  </si>
  <si>
    <t xml:space="preserve">C-28</t>
  </si>
  <si>
    <t xml:space="preserve">Desi Reality Check — middleclass</t>
  </si>
  <si>
    <t xml:space="preserve">calculators/desi reality check/middleclass.html</t>
  </si>
  <si>
    <t xml:space="preserve">calculators/middleclass</t>
  </si>
  <si>
    <t xml:space="preserve">C-29</t>
  </si>
  <si>
    <t xml:space="preserve">Desi Reality Check — parental</t>
  </si>
  <si>
    <t xml:space="preserve">calculators/desi reality check/parental.html</t>
  </si>
  <si>
    <t xml:space="preserve">calculators/parental</t>
  </si>
  <si>
    <t xml:space="preserve">C-30</t>
  </si>
  <si>
    <t xml:space="preserve">Desi Reality Check — shaadicost</t>
  </si>
  <si>
    <t xml:space="preserve">calculators/desi reality check/shaadicost.html</t>
  </si>
  <si>
    <t xml:space="preserve">calculators/shaadicost</t>
  </si>
  <si>
    <t xml:space="preserve">C-31</t>
  </si>
  <si>
    <t xml:space="preserve">Financial Health — emergencyfund</t>
  </si>
  <si>
    <t xml:space="preserve">calculators/financial health/emergencyfund.html</t>
  </si>
  <si>
    <t xml:space="preserve">calculators/emergencyfund</t>
  </si>
  <si>
    <t xml:space="preserve">C-32</t>
  </si>
  <si>
    <t xml:space="preserve">Financial Health — expenseratio</t>
  </si>
  <si>
    <t xml:space="preserve">calculators/financial health/expenseratio.html</t>
  </si>
  <si>
    <t xml:space="preserve">calculators/expenseratio</t>
  </si>
  <si>
    <t xml:space="preserve">C-33</t>
  </si>
  <si>
    <t xml:space="preserve">Financial Health — insurancecoverage</t>
  </si>
  <si>
    <t xml:space="preserve">calculators/financial health/insurancecoverage.html</t>
  </si>
  <si>
    <t xml:space="preserve">calculators/insurancecoverage</t>
  </si>
  <si>
    <t xml:space="preserve">C-34</t>
  </si>
  <si>
    <t xml:space="preserve">Financial Health — lifestyle</t>
  </si>
  <si>
    <t xml:space="preserve">calculators/financial health/lifestyle.html</t>
  </si>
  <si>
    <t xml:space="preserve">C-35</t>
  </si>
  <si>
    <t xml:space="preserve">Financial Health — networth</t>
  </si>
  <si>
    <t xml:space="preserve">calculators/financial health/networth.html</t>
  </si>
  <si>
    <t xml:space="preserve">calculators/networth</t>
  </si>
  <si>
    <t xml:space="preserve">C-36</t>
  </si>
  <si>
    <t xml:space="preserve">Financial Health — savings</t>
  </si>
  <si>
    <t xml:space="preserve">calculators/financial health/savings.html</t>
  </si>
  <si>
    <t xml:space="preserve">calculators/savings</t>
  </si>
  <si>
    <t xml:space="preserve">C-37</t>
  </si>
  <si>
    <t xml:space="preserve">Investment &amp; Wealth — assetalloc</t>
  </si>
  <si>
    <t xml:space="preserve">calculators/investment &amp; wealth/assetalloc.html</t>
  </si>
  <si>
    <t xml:space="preserve">calculators/assetalloc</t>
  </si>
  <si>
    <t xml:space="preserve">C-38</t>
  </si>
  <si>
    <t xml:space="preserve">Investment &amp; Wealth — cagr</t>
  </si>
  <si>
    <t xml:space="preserve">calculators/investment &amp; wealth/cagr.html</t>
  </si>
  <si>
    <t xml:space="preserve">calculators/cagr</t>
  </si>
  <si>
    <t xml:space="preserve">C-39</t>
  </si>
  <si>
    <t xml:space="preserve">Investment &amp; Wealth — dividend</t>
  </si>
  <si>
    <t xml:space="preserve">calculators/investment &amp; wealth/dividend.html</t>
  </si>
  <si>
    <t xml:space="preserve">calculators/dividend</t>
  </si>
  <si>
    <t xml:space="preserve">C-40</t>
  </si>
  <si>
    <t xml:space="preserve">Investment &amp; Wealth — etf</t>
  </si>
  <si>
    <t xml:space="preserve">calculators/investment &amp; wealth/etf.html</t>
  </si>
  <si>
    <t xml:space="preserve">calculators/etf</t>
  </si>
  <si>
    <t xml:space="preserve">C-41</t>
  </si>
  <si>
    <t xml:space="preserve">Investment &amp; Wealth — goalbased</t>
  </si>
  <si>
    <t xml:space="preserve">calculators/investment &amp; wealth/goalbased.html</t>
  </si>
  <si>
    <t xml:space="preserve">calculators/goalbased</t>
  </si>
  <si>
    <t xml:space="preserve">C-42</t>
  </si>
  <si>
    <t xml:space="preserve">Investment &amp; Wealth — lupsum</t>
  </si>
  <si>
    <t xml:space="preserve">calculators/investment &amp; wealth/lupsum.html</t>
  </si>
  <si>
    <t xml:space="preserve">calculators/lupsum</t>
  </si>
  <si>
    <t xml:space="preserve">C-43</t>
  </si>
  <si>
    <t xml:space="preserve">Investment &amp; Wealth — mutualfunds</t>
  </si>
  <si>
    <t xml:space="preserve">calculators/investment &amp; wealth/mutualfunds.html</t>
  </si>
  <si>
    <t xml:space="preserve">calculators/mutualfunds</t>
  </si>
  <si>
    <t xml:space="preserve">C-44</t>
  </si>
  <si>
    <t xml:space="preserve">Investment &amp; Wealth — portfolio</t>
  </si>
  <si>
    <t xml:space="preserve">calculators/investment &amp; wealth/portfolio.html</t>
  </si>
  <si>
    <t xml:space="preserve">calculators/portfolio</t>
  </si>
  <si>
    <t xml:space="preserve">C-45</t>
  </si>
  <si>
    <t xml:space="preserve">Investment &amp; Wealth — rebalancing</t>
  </si>
  <si>
    <t xml:space="preserve">calculators/investment &amp; wealth/rebalancing.html</t>
  </si>
  <si>
    <t xml:space="preserve">calculators/rebalancing</t>
  </si>
  <si>
    <t xml:space="preserve">C-46</t>
  </si>
  <si>
    <t xml:space="preserve">Investment &amp; Wealth — rollingreturns</t>
  </si>
  <si>
    <t xml:space="preserve">calculators/investment &amp; wealth/rollingreturns.html</t>
  </si>
  <si>
    <t xml:space="preserve">calculators/rollingreturns</t>
  </si>
  <si>
    <t xml:space="preserve">C-47</t>
  </si>
  <si>
    <t xml:space="preserve">Investment &amp; Wealth — sip-optimizer</t>
  </si>
  <si>
    <t xml:space="preserve">calculators/investment &amp; wealth/sip-optimizer.html</t>
  </si>
  <si>
    <t xml:space="preserve">calculators/sip-optimizer</t>
  </si>
  <si>
    <t xml:space="preserve">C-48</t>
  </si>
  <si>
    <t xml:space="preserve">Investment &amp; Wealth — sip</t>
  </si>
  <si>
    <t xml:space="preserve">calculators/investment &amp; wealth/sip.html</t>
  </si>
  <si>
    <t xml:space="preserve">calculators/sip</t>
  </si>
  <si>
    <t xml:space="preserve">C-49</t>
  </si>
  <si>
    <t xml:space="preserve">Investment &amp; Wealth — stepup</t>
  </si>
  <si>
    <t xml:space="preserve">calculators/investment &amp; wealth/stepup.html</t>
  </si>
  <si>
    <t xml:space="preserve">calculators/stepup</t>
  </si>
  <si>
    <t xml:space="preserve">C-50</t>
  </si>
  <si>
    <t xml:space="preserve">Investment &amp; Wealth — swp</t>
  </si>
  <si>
    <t xml:space="preserve">calculators/investment &amp; wealth/swp.html</t>
  </si>
  <si>
    <t xml:space="preserve">calculators/swp</t>
  </si>
  <si>
    <t xml:space="preserve">C-51</t>
  </si>
  <si>
    <t xml:space="preserve">Investment &amp; Wealth — taxadj</t>
  </si>
  <si>
    <t xml:space="preserve">calculators/investment &amp; wealth/taxadj.html</t>
  </si>
  <si>
    <t xml:space="preserve">calculators/taxadj</t>
  </si>
  <si>
    <t xml:space="preserve">C-52</t>
  </si>
  <si>
    <t xml:space="preserve">Investment &amp; Wealth — xirr</t>
  </si>
  <si>
    <t xml:space="preserve">calculators/investment &amp; wealth/xirr.html</t>
  </si>
  <si>
    <t xml:space="preserve">calculators/xirr</t>
  </si>
  <si>
    <t xml:space="preserve">C-53</t>
  </si>
  <si>
    <t xml:space="preserve">Loans, Debt &amp; Emi — car</t>
  </si>
  <si>
    <t xml:space="preserve">calculators/loans, debt &amp; emi/car.html</t>
  </si>
  <si>
    <t xml:space="preserve">calculators/car</t>
  </si>
  <si>
    <t xml:space="preserve">C-54</t>
  </si>
  <si>
    <t xml:space="preserve">Loans, Debt &amp; Emi — creditcard</t>
  </si>
  <si>
    <t xml:space="preserve">calculators/loans, debt &amp; emi/creditcard.html</t>
  </si>
  <si>
    <t xml:space="preserve">calculators/creditcard</t>
  </si>
  <si>
    <t xml:space="preserve">C-55</t>
  </si>
  <si>
    <t xml:space="preserve">Loans, Debt &amp; Emi — debtsnow</t>
  </si>
  <si>
    <t xml:space="preserve">calculators/loans, debt &amp; emi/debtsnow.html</t>
  </si>
  <si>
    <t xml:space="preserve">calculators/debtsnow</t>
  </si>
  <si>
    <t xml:space="preserve">C-56</t>
  </si>
  <si>
    <t xml:space="preserve">Loans, Debt &amp; Emi — education</t>
  </si>
  <si>
    <t xml:space="preserve">calculators/loans, debt &amp; emi/education.html</t>
  </si>
  <si>
    <t xml:space="preserve">calculators/education</t>
  </si>
  <si>
    <t xml:space="preserve">C-57</t>
  </si>
  <si>
    <t xml:space="preserve">Loans, Debt &amp; Emi — emi</t>
  </si>
  <si>
    <t xml:space="preserve">calculators/loans, debt &amp; emi/emi.html</t>
  </si>
  <si>
    <t xml:space="preserve">calculators/emi</t>
  </si>
  <si>
    <t xml:space="preserve">C-58</t>
  </si>
  <si>
    <t xml:space="preserve">Loans, Debt &amp; Emi — emiprepay</t>
  </si>
  <si>
    <t xml:space="preserve">calculators/loans, debt &amp; emi/emiprepay.html</t>
  </si>
  <si>
    <t xml:space="preserve">calculators/emiprepay</t>
  </si>
  <si>
    <t xml:space="preserve">C-59</t>
  </si>
  <si>
    <t xml:space="preserve">Loans, Debt &amp; Emi — home</t>
  </si>
  <si>
    <t xml:space="preserve">calculators/loans, debt &amp; emi/home.html</t>
  </si>
  <si>
    <t xml:space="preserve">calculators/home</t>
  </si>
  <si>
    <t xml:space="preserve">C-60</t>
  </si>
  <si>
    <t xml:space="preserve">Loans, Debt &amp; Emi — interest</t>
  </si>
  <si>
    <t xml:space="preserve">calculators/loans, debt &amp; emi/interest.html</t>
  </si>
  <si>
    <t xml:space="preserve">calculators/interest</t>
  </si>
  <si>
    <t xml:space="preserve">C-61</t>
  </si>
  <si>
    <t xml:space="preserve">Loans, Debt &amp; Emi — loaneligibility</t>
  </si>
  <si>
    <t xml:space="preserve">calculators/loans, debt &amp; emi/loaneligibility.html</t>
  </si>
  <si>
    <t xml:space="preserve">calculators/loaneligibility</t>
  </si>
  <si>
    <t xml:space="preserve">C-62</t>
  </si>
  <si>
    <t xml:space="preserve">Loans, Debt &amp; Emi — loantenure</t>
  </si>
  <si>
    <t xml:space="preserve">calculators/loans, debt &amp; emi/loantenure.html</t>
  </si>
  <si>
    <t xml:space="preserve">calculators/loantenure</t>
  </si>
  <si>
    <t xml:space="preserve">C-63</t>
  </si>
  <si>
    <t xml:space="preserve">Loans, Debt &amp; Emi — personal</t>
  </si>
  <si>
    <t xml:space="preserve">calculators/loans, debt &amp; emi/personal.html</t>
  </si>
  <si>
    <t xml:space="preserve">calculators/personal</t>
  </si>
  <si>
    <t xml:space="preserve">C-64</t>
  </si>
  <si>
    <t xml:space="preserve">Loans, Debt &amp; Emi — prepayinvest</t>
  </si>
  <si>
    <t xml:space="preserve">calculators/loans, debt &amp; emi/prepayinvest.html</t>
  </si>
  <si>
    <t xml:space="preserve">tools/prepay</t>
  </si>
  <si>
    <t xml:space="preserve">Parity-tested</t>
  </si>
  <si>
    <t xml:space="preserve">C-65</t>
  </si>
  <si>
    <t xml:space="preserve">Retirement &amp; Life Planning — annuity</t>
  </si>
  <si>
    <t xml:space="preserve">calculators/retirement &amp; life planning/annuity.html</t>
  </si>
  <si>
    <t xml:space="preserve">calculators/annuity</t>
  </si>
  <si>
    <t xml:space="preserve">C-66</t>
  </si>
  <si>
    <t xml:space="preserve">Retirement &amp; Life Planning — healthcare</t>
  </si>
  <si>
    <t xml:space="preserve">calculators/retirement &amp; life planning/healthcare.html</t>
  </si>
  <si>
    <t xml:space="preserve">calculators/healthcare</t>
  </si>
  <si>
    <t xml:space="preserve">C-67</t>
  </si>
  <si>
    <t xml:space="preserve">Retirement &amp; Life Planning — lifeexpentancy</t>
  </si>
  <si>
    <t xml:space="preserve">calculators/retirement &amp; life planning/lifeexpentancy.html</t>
  </si>
  <si>
    <t xml:space="preserve">calculators/lifeexpentancy</t>
  </si>
  <si>
    <t xml:space="preserve">C-68</t>
  </si>
  <si>
    <t xml:space="preserve">Retirement &amp; Life Planning — longevity</t>
  </si>
  <si>
    <t xml:space="preserve">calculators/retirement &amp; life planning/longevity.html</t>
  </si>
  <si>
    <t xml:space="preserve">calculators/longevity</t>
  </si>
  <si>
    <t xml:space="preserve">C-69</t>
  </si>
  <si>
    <t xml:space="preserve">Retirement &amp; Life Planning — pensiongap</t>
  </si>
  <si>
    <t xml:space="preserve">calculators/retirement &amp; life planning/pensiongap.html</t>
  </si>
  <si>
    <t xml:space="preserve">calculators/pensiongap</t>
  </si>
  <si>
    <t xml:space="preserve">C-70</t>
  </si>
  <si>
    <t xml:space="preserve">Retirement &amp; Life Planning — postretirement</t>
  </si>
  <si>
    <t xml:space="preserve">calculators/retirement &amp; life planning/postretirement.html</t>
  </si>
  <si>
    <t xml:space="preserve">calculators/postretirement</t>
  </si>
  <si>
    <t xml:space="preserve">C-71</t>
  </si>
  <si>
    <t xml:space="preserve">Retirement &amp; Life Planning — retirement</t>
  </si>
  <si>
    <t xml:space="preserve">calculators/retirement &amp; life planning/retirement.html</t>
  </si>
  <si>
    <t xml:space="preserve">calculators/retirement</t>
  </si>
  <si>
    <t xml:space="preserve">C-72</t>
  </si>
  <si>
    <t xml:space="preserve">Tax &amp; Salary — 80c</t>
  </si>
  <si>
    <t xml:space="preserve">calculators/tax &amp; salary/80c.html</t>
  </si>
  <si>
    <t xml:space="preserve">calculators/80c</t>
  </si>
  <si>
    <t xml:space="preserve">C-73</t>
  </si>
  <si>
    <t xml:space="preserve">Tax &amp; Salary — captalgains</t>
  </si>
  <si>
    <t xml:space="preserve">calculators/tax &amp; salary/captalgains.html</t>
  </si>
  <si>
    <t xml:space="preserve">calculators/captalgains</t>
  </si>
  <si>
    <t xml:space="preserve">C-74</t>
  </si>
  <si>
    <t xml:space="preserve">Tax &amp; Salary — gratuity</t>
  </si>
  <si>
    <t xml:space="preserve">calculators/tax &amp; salary/gratuity.html</t>
  </si>
  <si>
    <t xml:space="preserve">calculators/gratuity</t>
  </si>
  <si>
    <t xml:space="preserve">C-75</t>
  </si>
  <si>
    <t xml:space="preserve">Tax &amp; Salary — hra</t>
  </si>
  <si>
    <t xml:space="preserve">calculators/tax &amp; salary/hra.html</t>
  </si>
  <si>
    <t xml:space="preserve">calculators/hra</t>
  </si>
  <si>
    <t xml:space="preserve">C-76</t>
  </si>
  <si>
    <t xml:space="preserve">Tax &amp; Salary — income</t>
  </si>
  <si>
    <t xml:space="preserve">calculators/tax &amp; salary/income.html</t>
  </si>
  <si>
    <t xml:space="preserve">calculators/income</t>
  </si>
  <si>
    <t xml:space="preserve">C-77</t>
  </si>
  <si>
    <t xml:space="preserve">Tax &amp; Salary — inhand</t>
  </si>
  <si>
    <t xml:space="preserve">calculators/tax &amp; salary/inhand.html</t>
  </si>
  <si>
    <t xml:space="preserve">calculators/inhand</t>
  </si>
  <si>
    <t xml:space="preserve">C-78</t>
  </si>
  <si>
    <t xml:space="preserve">Tax &amp; Salary — leave</t>
  </si>
  <si>
    <t xml:space="preserve">calculators/tax &amp; salary/leave.html</t>
  </si>
  <si>
    <t xml:space="preserve">calculators/leave</t>
  </si>
  <si>
    <t xml:space="preserve">C-79</t>
  </si>
  <si>
    <t xml:space="preserve">Tax &amp; Salary — offercompare</t>
  </si>
  <si>
    <t xml:space="preserve">calculators/tax &amp; salary/offercompare.html</t>
  </si>
  <si>
    <t xml:space="preserve">tools/offers</t>
  </si>
  <si>
    <t xml:space="preserve">C-80</t>
  </si>
  <si>
    <t xml:space="preserve">Tax &amp; Salary — oldnew</t>
  </si>
  <si>
    <t xml:space="preserve">calculators/tax &amp; salary/oldnew.html</t>
  </si>
  <si>
    <t xml:space="preserve">calculators/oldnew</t>
  </si>
  <si>
    <t xml:space="preserve">C-81</t>
  </si>
  <si>
    <t xml:space="preserve">Tax &amp; Salary — professional</t>
  </si>
  <si>
    <t xml:space="preserve">calculators/tax &amp; salary/professional.html</t>
  </si>
  <si>
    <t xml:space="preserve">calculators/professional</t>
  </si>
  <si>
    <t xml:space="preserve">C-82</t>
  </si>
  <si>
    <t xml:space="preserve">Tax &amp; Salary — shortlong</t>
  </si>
  <si>
    <t xml:space="preserve">calculators/tax &amp; salary/shortlong.html</t>
  </si>
  <si>
    <t xml:space="preserve">calculators/shortlong</t>
  </si>
  <si>
    <t xml:space="preserve">C-83</t>
  </si>
  <si>
    <t xml:space="preserve">Trading &amp; Markets — breakeven</t>
  </si>
  <si>
    <t xml:space="preserve">calculators/trading &amp; markets/breakeven.html</t>
  </si>
  <si>
    <t xml:space="preserve">calculators/breakeven</t>
  </si>
  <si>
    <t xml:space="preserve">C-84</t>
  </si>
  <si>
    <t xml:space="preserve">Trading &amp; Markets — brokerage</t>
  </si>
  <si>
    <t xml:space="preserve">calculators/trading &amp; markets/brokerage.html</t>
  </si>
  <si>
    <t xml:space="preserve">calculators/brokerage</t>
  </si>
  <si>
    <t xml:space="preserve">C-85</t>
  </si>
  <si>
    <t xml:space="preserve">Trading &amp; Markets — futurespl</t>
  </si>
  <si>
    <t xml:space="preserve">calculators/trading &amp; markets/futurespl.html</t>
  </si>
  <si>
    <t xml:space="preserve">calculators/futurespl</t>
  </si>
  <si>
    <t xml:space="preserve">C-86</t>
  </si>
  <si>
    <t xml:space="preserve">Trading &amp; Markets — margin</t>
  </si>
  <si>
    <t xml:space="preserve">calculators/trading &amp; markets/margin.html</t>
  </si>
  <si>
    <t xml:space="preserve">calculators/margin</t>
  </si>
  <si>
    <t xml:space="preserve">C-87</t>
  </si>
  <si>
    <t xml:space="preserve">Trading &amp; Markets — options</t>
  </si>
  <si>
    <t xml:space="preserve">calculators/trading &amp; markets/options.html</t>
  </si>
  <si>
    <t xml:space="preserve">calculators/options</t>
  </si>
  <si>
    <t xml:space="preserve">C-88</t>
  </si>
  <si>
    <t xml:space="preserve">Trading &amp; Markets — positionsize</t>
  </si>
  <si>
    <t xml:space="preserve">calculators/trading &amp; markets/positionsize.html</t>
  </si>
  <si>
    <t xml:space="preserve">calculators/positionsize</t>
  </si>
  <si>
    <t xml:space="preserve">C-89</t>
  </si>
  <si>
    <t xml:space="preserve">Trading &amp; Markets — riskper</t>
  </si>
  <si>
    <t xml:space="preserve">calculators/trading &amp; markets/riskper.html</t>
  </si>
  <si>
    <t xml:space="preserve">calculators/riskper</t>
  </si>
  <si>
    <t xml:space="preserve">C-90</t>
  </si>
  <si>
    <t xml:space="preserve">Trading &amp; Markets — volatility</t>
  </si>
  <si>
    <t xml:space="preserve">calculators/trading &amp; markets/volatility.html</t>
  </si>
  <si>
    <t xml:space="preserve">calculators/volatility</t>
  </si>
  <si>
    <t xml:space="preserve">L-01</t>
  </si>
  <si>
    <t xml:space="preserve">Learn: analysis</t>
  </si>
  <si>
    <t xml:space="preserve">html/learn-analysis.html</t>
  </si>
  <si>
    <t xml:space="preserve">learn/analysis</t>
  </si>
  <si>
    <t xml:space="preserve">Content-heavy; candidate for the in-app web view</t>
  </si>
  <si>
    <t xml:space="preserve">L-02</t>
  </si>
  <si>
    <t xml:space="preserve">Learn: commodity</t>
  </si>
  <si>
    <t xml:space="preserve">html/learn-commodity.html</t>
  </si>
  <si>
    <t xml:space="preserve">learn/commodity</t>
  </si>
  <si>
    <t xml:space="preserve">L-03</t>
  </si>
  <si>
    <t xml:space="preserve">Learn: crypto</t>
  </si>
  <si>
    <t xml:space="preserve">html/learn-crypto.html</t>
  </si>
  <si>
    <t xml:space="preserve">learn/crypto</t>
  </si>
  <si>
    <t xml:space="preserve">L-04</t>
  </si>
  <si>
    <t xml:space="preserve">Learn: debt</t>
  </si>
  <si>
    <t xml:space="preserve">html/learn-debt.html</t>
  </si>
  <si>
    <t xml:space="preserve">learn/debt</t>
  </si>
  <si>
    <t xml:space="preserve">L-05</t>
  </si>
  <si>
    <t xml:space="preserve">Learn: equity</t>
  </si>
  <si>
    <t xml:space="preserve">html/learn-equity.html</t>
  </si>
  <si>
    <t xml:space="preserve">learn/equity</t>
  </si>
  <si>
    <t xml:space="preserve">L-06</t>
  </si>
  <si>
    <t xml:space="preserve">Learn: etf</t>
  </si>
  <si>
    <t xml:space="preserve">html/learn-etf.html</t>
  </si>
  <si>
    <t xml:space="preserve">learn/etf</t>
  </si>
  <si>
    <t xml:space="preserve">L-07</t>
  </si>
  <si>
    <t xml:space="preserve">Learn: fno</t>
  </si>
  <si>
    <t xml:space="preserve">html/learn-fno.html</t>
  </si>
  <si>
    <t xml:space="preserve">learn/fno</t>
  </si>
  <si>
    <t xml:space="preserve">L-08</t>
  </si>
  <si>
    <t xml:space="preserve">Learn: forex</t>
  </si>
  <si>
    <t xml:space="preserve">html/learn-forex.html</t>
  </si>
  <si>
    <t xml:space="preserve">learn/forex</t>
  </si>
  <si>
    <t xml:space="preserve">L-09</t>
  </si>
  <si>
    <t xml:space="preserve">Learn: fundamental</t>
  </si>
  <si>
    <t xml:space="preserve">html/learn-fundamental.html</t>
  </si>
  <si>
    <t xml:space="preserve">learn/fundamental</t>
  </si>
  <si>
    <t xml:space="preserve">L-10</t>
  </si>
  <si>
    <t xml:space="preserve">Learn: indicators</t>
  </si>
  <si>
    <t xml:space="preserve">html/learn-indicators.html</t>
  </si>
  <si>
    <t xml:space="preserve">learn/indicators</t>
  </si>
  <si>
    <t xml:space="preserve">L-11</t>
  </si>
  <si>
    <t xml:space="preserve">Learn: insurance</t>
  </si>
  <si>
    <t xml:space="preserve">html/learn-insurance.html</t>
  </si>
  <si>
    <t xml:space="preserve">learn/insurance</t>
  </si>
  <si>
    <t xml:space="preserve">L-12</t>
  </si>
  <si>
    <t xml:space="preserve">Learn: metrics</t>
  </si>
  <si>
    <t xml:space="preserve">html/learn-metrics.html</t>
  </si>
  <si>
    <t xml:space="preserve">learn/metrics</t>
  </si>
  <si>
    <t xml:space="preserve">L-13</t>
  </si>
  <si>
    <t xml:space="preserve">Learn: mf</t>
  </si>
  <si>
    <t xml:space="preserve">html/learn-mf.html</t>
  </si>
  <si>
    <t xml:space="preserve">learn/mf</t>
  </si>
  <si>
    <t xml:space="preserve">L-14</t>
  </si>
  <si>
    <t xml:space="preserve">Learn: money-market</t>
  </si>
  <si>
    <t xml:space="preserve">html/learn-money-market.html</t>
  </si>
  <si>
    <t xml:space="preserve">learn/money-market</t>
  </si>
  <si>
    <t xml:space="preserve">L-15</t>
  </si>
  <si>
    <t xml:space="preserve">Learn: technical</t>
  </si>
  <si>
    <t xml:space="preserve">html/learn-technical.html</t>
  </si>
  <si>
    <t xml:space="preserve">learn/technical</t>
  </si>
  <si>
    <t xml:space="preserve">L-16</t>
  </si>
  <si>
    <t xml:space="preserve">Insight: debt</t>
  </si>
  <si>
    <t xml:space="preserve">html/insight-debt.html</t>
  </si>
  <si>
    <t xml:space="preserve">learn/insight-debt</t>
  </si>
  <si>
    <t xml:space="preserve">L-17</t>
  </si>
  <si>
    <t xml:space="preserve">Insight: emi</t>
  </si>
  <si>
    <t xml:space="preserve">html/insight-emi.html</t>
  </si>
  <si>
    <t xml:space="preserve">learn/insight-emi</t>
  </si>
  <si>
    <t xml:space="preserve">L-18</t>
  </si>
  <si>
    <t xml:space="preserve">Insight: inflation</t>
  </si>
  <si>
    <t xml:space="preserve">html/insight-inflation.html</t>
  </si>
  <si>
    <t xml:space="preserve">learn/insight-inflation</t>
  </si>
  <si>
    <t xml:space="preserve">L-19</t>
  </si>
  <si>
    <t xml:space="preserve">Insight: rbi</t>
  </si>
  <si>
    <t xml:space="preserve">html/insight-rbi.html</t>
  </si>
  <si>
    <t xml:space="preserve">learn/insight-rbi</t>
  </si>
  <si>
    <t xml:space="preserve">L-20</t>
  </si>
  <si>
    <t xml:space="preserve">Insight: sip</t>
  </si>
  <si>
    <t xml:space="preserve">html/insight-sip.html</t>
  </si>
  <si>
    <t xml:space="preserve">learn/insight-sip</t>
  </si>
  <si>
    <t xml:space="preserve">L-21</t>
  </si>
  <si>
    <t xml:space="preserve">Finance 101</t>
  </si>
  <si>
    <t xml:space="preserve">html/finance101.html</t>
  </si>
  <si>
    <t xml:space="preserve">learn/finance101</t>
  </si>
  <si>
    <t xml:space="preserve">L-22</t>
  </si>
  <si>
    <t xml:space="preserve">Foundations</t>
  </si>
  <si>
    <t xml:space="preserve">html/foundations.html</t>
  </si>
  <si>
    <t xml:space="preserve">learn/foundations</t>
  </si>
  <si>
    <t xml:space="preserve">L-23</t>
  </si>
  <si>
    <t xml:space="preserve">Principles</t>
  </si>
  <si>
    <t xml:space="preserve">html/principles.html</t>
  </si>
  <si>
    <t xml:space="preserve">learn/principles</t>
  </si>
  <si>
    <t xml:space="preserve">L-24</t>
  </si>
  <si>
    <t xml:space="preserve">Investor Mindset</t>
  </si>
  <si>
    <t xml:space="preserve">html/investor-mindset.html</t>
  </si>
  <si>
    <t xml:space="preserve">learn/investor-mindset</t>
  </si>
  <si>
    <t xml:space="preserve">L-25</t>
  </si>
  <si>
    <t xml:space="preserve">Investor Profile</t>
  </si>
  <si>
    <t xml:space="preserve">html/investor-profile.html</t>
  </si>
  <si>
    <t xml:space="preserve">learn/investor-profile</t>
  </si>
  <si>
    <t xml:space="preserve">L-26</t>
  </si>
  <si>
    <t xml:space="preserve">Financial DNA quiz</t>
  </si>
  <si>
    <t xml:space="preserve">html/dna.html</t>
  </si>
  <si>
    <t xml:space="preserve">learn/dna</t>
  </si>
  <si>
    <t xml:space="preserve">L-27</t>
  </si>
  <si>
    <t xml:space="preserve">Mindset Simulator</t>
  </si>
  <si>
    <t xml:space="preserve">html/mindset-sim.html</t>
  </si>
  <si>
    <t xml:space="preserve">learn/mindset-sim</t>
  </si>
  <si>
    <t xml:space="preserve">L-28</t>
  </si>
  <si>
    <t xml:space="preserve">Mindset Simulator hub</t>
  </si>
  <si>
    <t xml:space="preserve">html/mindset-sim-hub.html</t>
  </si>
  <si>
    <t xml:space="preserve">learn/mindset-sim-hub</t>
  </si>
  <si>
    <t xml:space="preserve">L-29</t>
  </si>
  <si>
    <t xml:space="preserve">Train your mindset</t>
  </si>
  <si>
    <t xml:space="preserve">html/train-mindset.html</t>
  </si>
  <si>
    <t xml:space="preserve">learn/train-mindset</t>
  </si>
  <si>
    <t xml:space="preserve">L-30</t>
  </si>
  <si>
    <t xml:space="preserve">Not money</t>
  </si>
  <si>
    <t xml:space="preserve">html/not-money.html</t>
  </si>
  <si>
    <t xml:space="preserve">learn/not-money</t>
  </si>
  <si>
    <t xml:space="preserve">L-31</t>
  </si>
  <si>
    <t xml:space="preserve">Decision tools</t>
  </si>
  <si>
    <t xml:space="preserve">html/decision.html</t>
  </si>
  <si>
    <t xml:space="preserve">learn/decision</t>
  </si>
  <si>
    <t xml:space="preserve">L-32</t>
  </si>
  <si>
    <t xml:space="preserve">Clarity</t>
  </si>
  <si>
    <t xml:space="preserve">html/clarity.html</t>
  </si>
  <si>
    <t xml:space="preserve">learn/clarity</t>
  </si>
  <si>
    <t xml:space="preserve">L-33</t>
  </si>
  <si>
    <t xml:space="preserve">What-if scenarios</t>
  </si>
  <si>
    <t xml:space="preserve">html/scenarios.html</t>
  </si>
  <si>
    <t xml:space="preserve">learn/scenarios</t>
  </si>
  <si>
    <t xml:space="preserve">L-34</t>
  </si>
  <si>
    <t xml:space="preserve">Life timeline</t>
  </si>
  <si>
    <t xml:space="preserve">html/timeline.html</t>
  </si>
  <si>
    <t xml:space="preserve">learn/timeline</t>
  </si>
  <si>
    <t xml:space="preserve">L-35</t>
  </si>
  <si>
    <t xml:space="preserve">Fear roadmap</t>
  </si>
  <si>
    <t xml:space="preserve">html/fear-roadmap.html</t>
  </si>
  <si>
    <t xml:space="preserve">learn/fear-roadmap</t>
  </si>
  <si>
    <t xml:space="preserve">L-36</t>
  </si>
  <si>
    <t xml:space="preserve">Roadmap</t>
  </si>
  <si>
    <t xml:space="preserve">html/roadmap.html</t>
  </si>
  <si>
    <t xml:space="preserve">learn/roadmap</t>
  </si>
  <si>
    <t xml:space="preserve">L-37</t>
  </si>
  <si>
    <t xml:space="preserve">Roadmaps</t>
  </si>
  <si>
    <t xml:space="preserve">html/roadmaps.html</t>
  </si>
  <si>
    <t xml:space="preserve">learn/roadmaps</t>
  </si>
  <si>
    <t xml:space="preserve">L-38</t>
  </si>
  <si>
    <t xml:space="preserve">Trader roadmap</t>
  </si>
  <si>
    <t xml:space="preserve">html/trader-roadmap.html</t>
  </si>
  <si>
    <t xml:space="preserve">learn/trader-roadmap</t>
  </si>
  <si>
    <t xml:space="preserve">L-39</t>
  </si>
  <si>
    <t xml:space="preserve">Traditional roadmap</t>
  </si>
  <si>
    <t xml:space="preserve">html/traditional-roadmap.html</t>
  </si>
  <si>
    <t xml:space="preserve">learn/traditional-roadmap</t>
  </si>
  <si>
    <t xml:space="preserve">L-40</t>
  </si>
  <si>
    <t xml:space="preserve">Simulator</t>
  </si>
  <si>
    <t xml:space="preserve">html/simulator.html</t>
  </si>
  <si>
    <t xml:space="preserve">learn/simulator</t>
  </si>
  <si>
    <t xml:space="preserve">L-41</t>
  </si>
  <si>
    <t xml:space="preserve">Simulator guide</t>
  </si>
  <si>
    <t xml:space="preserve">html/simulator-guide.html</t>
  </si>
  <si>
    <t xml:space="preserve">learn/simulator-guide</t>
  </si>
  <si>
    <t xml:space="preserve">L-42</t>
  </si>
  <si>
    <t xml:space="preserve">Simulator landing</t>
  </si>
  <si>
    <t xml:space="preserve">html/simulator-landing.html</t>
  </si>
  <si>
    <t xml:space="preserve">learn/simulator-landing</t>
  </si>
  <si>
    <t xml:space="preserve">L-43</t>
  </si>
  <si>
    <t xml:space="preserve">Trading simulator</t>
  </si>
  <si>
    <t xml:space="preserve">html/trading-simulator.html</t>
  </si>
  <si>
    <t xml:space="preserve">learn/trading-simulator</t>
  </si>
  <si>
    <t xml:space="preserve">L-44</t>
  </si>
  <si>
    <t xml:space="preserve">Trading coach</t>
  </si>
  <si>
    <t xml:space="preserve">html/trading-coach.html</t>
  </si>
  <si>
    <t xml:space="preserve">learn/trading-coach</t>
  </si>
  <si>
    <t xml:space="preserve">L-45</t>
  </si>
  <si>
    <t xml:space="preserve">Trading brain</t>
  </si>
  <si>
    <t xml:space="preserve">html/trading-brain.html</t>
  </si>
  <si>
    <t xml:space="preserve">learn/trading-brain</t>
  </si>
  <si>
    <t xml:space="preserve">L-46</t>
  </si>
  <si>
    <t xml:space="preserve">Know your finances</t>
  </si>
  <si>
    <t xml:space="preserve">html/know-your-finances.html</t>
  </si>
  <si>
    <t xml:space="preserve">learn/know-your-finances</t>
  </si>
  <si>
    <t xml:space="preserve">L-47</t>
  </si>
  <si>
    <t xml:space="preserve">Financial being</t>
  </si>
  <si>
    <t xml:space="preserve">html/financial-being.html</t>
  </si>
  <si>
    <t xml:space="preserve">learn/financial-being</t>
  </si>
  <si>
    <t xml:space="preserve">L-48</t>
  </si>
  <si>
    <t xml:space="preserve">Diagnostics</t>
  </si>
  <si>
    <t xml:space="preserve">html/diagnostics.html</t>
  </si>
  <si>
    <t xml:space="preserve">learn/diagnostics</t>
  </si>
  <si>
    <t xml:space="preserve">L-49</t>
  </si>
  <si>
    <t xml:space="preserve">Life wealth</t>
  </si>
  <si>
    <t xml:space="preserve">html/life-wealth.html</t>
  </si>
  <si>
    <t xml:space="preserve">learn/life-wealth</t>
  </si>
  <si>
    <t xml:space="preserve">L-50</t>
  </si>
  <si>
    <t xml:space="preserve">Impact</t>
  </si>
  <si>
    <t xml:space="preserve">html/impact.html</t>
  </si>
  <si>
    <t xml:space="preserve">learn/impact</t>
  </si>
  <si>
    <t xml:space="preserve">L-51</t>
  </si>
  <si>
    <t xml:space="preserve">Impact detail</t>
  </si>
  <si>
    <t xml:space="preserve">html/impact-detail.html</t>
  </si>
  <si>
    <t xml:space="preserve">learn/impact-detail</t>
  </si>
  <si>
    <t xml:space="preserve">M-01</t>
  </si>
  <si>
    <t xml:space="preserve">Markets: indices (NIFTY 50, SENSEX, IT, BANK)</t>
  </si>
  <si>
    <t xml:space="preserve">html/markets.html</t>
  </si>
  <si>
    <t xml:space="preserve">(tabs)/markets</t>
  </si>
  <si>
    <t xml:space="preserve">Live from the Arya backend; no invented prices offline</t>
  </si>
  <si>
    <t xml:space="preserve">M-02</t>
  </si>
  <si>
    <t xml:space="preserve">Markets: sector indices (8 sectors)</t>
  </si>
  <si>
    <t xml:space="preserve">New /api/market/sectors route (needs a backend restart)</t>
  </si>
  <si>
    <t xml:space="preserve">M-03</t>
  </si>
  <si>
    <t xml:space="preserve">Markets: FII / DII flows</t>
  </si>
  <si>
    <t xml:space="preserve">No data source; the earlier hard-coded numbers were removed</t>
  </si>
  <si>
    <t xml:space="preserve">M-04</t>
  </si>
  <si>
    <t xml:space="preserve">Equity detail</t>
  </si>
  <si>
    <t xml:space="preserve">html/equitydetail.html</t>
  </si>
  <si>
    <t xml:space="preserve">markets/equitydetail</t>
  </si>
  <si>
    <t xml:space="preserve">M-05</t>
  </si>
  <si>
    <t xml:space="preserve">ETF detail</t>
  </si>
  <si>
    <t xml:space="preserve">html/etfdetail.html</t>
  </si>
  <si>
    <t xml:space="preserve">markets/etfdetail</t>
  </si>
  <si>
    <t xml:space="preserve">M-06</t>
  </si>
  <si>
    <t xml:space="preserve">Mutual fund detail</t>
  </si>
  <si>
    <t xml:space="preserve">html/mfdetail.html</t>
  </si>
  <si>
    <t xml:space="preserve">markets/mfdetail</t>
  </si>
  <si>
    <t xml:space="preserve">M-07</t>
  </si>
  <si>
    <t xml:space="preserve">Crypto detail</t>
  </si>
  <si>
    <t xml:space="preserve">html/cryptodetail.html</t>
  </si>
  <si>
    <t xml:space="preserve">markets/cryptodetail</t>
  </si>
  <si>
    <t xml:space="preserve">M-08</t>
  </si>
  <si>
    <t xml:space="preserve">Commodity detail</t>
  </si>
  <si>
    <t xml:space="preserve">html/commoditydetail.html</t>
  </si>
  <si>
    <t xml:space="preserve">markets/commoditydetail</t>
  </si>
  <si>
    <t xml:space="preserve">M-09</t>
  </si>
  <si>
    <t xml:space="preserve">Forex detail</t>
  </si>
  <si>
    <t xml:space="preserve">html/forexdetail.html</t>
  </si>
  <si>
    <t xml:space="preserve">markets/forexdetail</t>
  </si>
  <si>
    <t xml:space="preserve">M-10</t>
  </si>
  <si>
    <t xml:space="preserve">F&amp;O detail</t>
  </si>
  <si>
    <t xml:space="preserve">html/fnodetail.html</t>
  </si>
  <si>
    <t xml:space="preserve">markets/fnodetail</t>
  </si>
  <si>
    <t xml:space="preserve">M-11</t>
  </si>
  <si>
    <t xml:space="preserve">Debt detail</t>
  </si>
  <si>
    <t xml:space="preserve">html/debtdetail.html</t>
  </si>
  <si>
    <t xml:space="preserve">markets/debtdetail</t>
  </si>
  <si>
    <t xml:space="preserve">M-12</t>
  </si>
  <si>
    <t xml:space="preserve">Money market detail</t>
  </si>
  <si>
    <t xml:space="preserve">html/moneydetail.html</t>
  </si>
  <si>
    <t xml:space="preserve">markets/moneydetail</t>
  </si>
  <si>
    <t xml:space="preserve">M-13</t>
  </si>
  <si>
    <t xml:space="preserve">Market intelligence</t>
  </si>
  <si>
    <t xml:space="preserve">html/market-intel.html</t>
  </si>
  <si>
    <t xml:space="preserve">markets/market-intel</t>
  </si>
  <si>
    <t xml:space="preserve">M-14</t>
  </si>
  <si>
    <t xml:space="preserve">Market visualizer</t>
  </si>
  <si>
    <t xml:space="preserve">html/market-visualizer.html</t>
  </si>
  <si>
    <t xml:space="preserve">markets/market-visualizer</t>
  </si>
  <si>
    <t xml:space="preserve">M-15</t>
  </si>
  <si>
    <t xml:space="preserve">Stock platform / screener</t>
  </si>
  <si>
    <t xml:space="preserve">html/stock-platform.html</t>
  </si>
  <si>
    <t xml:space="preserve">markets/stock-platform</t>
  </si>
  <si>
    <t xml:space="preserve">M-16</t>
  </si>
  <si>
    <t xml:space="preserve">Options intelligence</t>
  </si>
  <si>
    <t xml:space="preserve">html/options-intelligence.html</t>
  </si>
  <si>
    <t xml:space="preserve">markets/options-intelligence</t>
  </si>
  <si>
    <t xml:space="preserve">M-17</t>
  </si>
  <si>
    <t xml:space="preserve">QuantEdge</t>
  </si>
  <si>
    <t xml:space="preserve">html/quantedge.html</t>
  </si>
  <si>
    <t xml:space="preserve">markets/quantedge</t>
  </si>
  <si>
    <t xml:space="preserve">M-18</t>
  </si>
  <si>
    <t xml:space="preserve">Hedge fund view</t>
  </si>
  <si>
    <t xml:space="preserve">html/hedgefund.html</t>
  </si>
  <si>
    <t xml:space="preserve">markets/hedgefund</t>
  </si>
  <si>
    <t xml:space="preserve">M-19</t>
  </si>
  <si>
    <t xml:space="preserve">News feed + sentiment</t>
  </si>
  <si>
    <t xml:space="preserve">html/news.html</t>
  </si>
  <si>
    <t xml:space="preserve">markets/news</t>
  </si>
  <si>
    <t xml:space="preserve">M-20</t>
  </si>
  <si>
    <t xml:space="preserve">CA advisor</t>
  </si>
  <si>
    <t xml:space="preserve">html/ca-advisor.html</t>
  </si>
  <si>
    <t xml:space="preserve">markets/ca-advisor</t>
  </si>
  <si>
    <t xml:space="preserve">M-21</t>
  </si>
  <si>
    <t xml:space="preserve">Insurance directory</t>
  </si>
  <si>
    <t xml:space="preserve">html/insurance-directory.html</t>
  </si>
  <si>
    <t xml:space="preserve">markets/insurance-directory</t>
  </si>
  <si>
    <t xml:space="preserve">S-01</t>
  </si>
  <si>
    <t xml:space="preserve">Portfolio: holdings list, live prices, SIP tab, insights</t>
  </si>
  <si>
    <t xml:space="preserve">(tabs)/portfolio</t>
  </si>
  <si>
    <t xml:space="preserve">On-device + Supabase holdings sync (untested against the live project)</t>
  </si>
  <si>
    <t xml:space="preserve">S-02</t>
  </si>
  <si>
    <t xml:space="preserve">Portfolio: broker holdings CSV import (Zerodha / Groww)</t>
  </si>
  <si>
    <t xml:space="preserve">js/finos-import.js</t>
  </si>
  <si>
    <t xml:space="preserve">tracker/holdings-import (Portfolio ⇪ Import)</t>
  </si>
  <si>
    <t xml:space="preserve">Zerodha / Groww / generic CSV parsed identically to js/finos-import.js; rows become Portfolio holdings (replace units + avg cost, never add twice); holdings with no ticker/scheme code keep the broker price. CAS PDF import (S-03) still needs the document-ai backend.</t>
  </si>
  <si>
    <t xml:space="preserve">S-03</t>
  </si>
  <si>
    <t xml:space="preserve">Portfolio: CAS statement import (PDF)</t>
  </si>
  <si>
    <t xml:space="preserve">js/finos-import.js + document-ai/cas_import.py</t>
  </si>
  <si>
    <t xml:space="preserve">portfolio/import</t>
  </si>
  <si>
    <t xml:space="preserve">Needs the document-ai backend</t>
  </si>
  <si>
    <t xml:space="preserve">S-04</t>
  </si>
  <si>
    <t xml:space="preserve">Portfolio Analyser: XIRR, sector heatmap, treemap</t>
  </si>
  <si>
    <t xml:space="preserve">Porfolio Analyser/portfolio-analyser-v10.html</t>
  </si>
  <si>
    <t xml:space="preserve">portfolio/analytics</t>
  </si>
  <si>
    <t xml:space="preserve">S-05</t>
  </si>
  <si>
    <t xml:space="preserve">Portfolio Analyser: factor regression, Monte Carlo cones</t>
  </si>
  <si>
    <t xml:space="preserve">portfolio/quant</t>
  </si>
  <si>
    <t xml:space="preserve">S-06</t>
  </si>
  <si>
    <t xml:space="preserve">Portfolio Analyser: news sentiment, peers, promoter trend</t>
  </si>
  <si>
    <t xml:space="preserve">portfolio/research</t>
  </si>
  <si>
    <t xml:space="preserve">S-07</t>
  </si>
  <si>
    <t xml:space="preserve">Portfolio Analyser: watchlist &amp; screener</t>
  </si>
  <si>
    <t xml:space="preserve">portfolio/watchlist</t>
  </si>
  <si>
    <t xml:space="preserve">S-08</t>
  </si>
  <si>
    <t xml:space="preserve">Portfolio Analyser: shareable link, themes, ⌘K palette</t>
  </si>
  <si>
    <t xml:space="preserve">Desktop-oriented</t>
  </si>
  <si>
    <t xml:space="preserve">S-09</t>
  </si>
  <si>
    <t xml:space="preserve">TradeJournal (log, analytics, psychology, OCR scan)</t>
  </si>
  <si>
    <t xml:space="preserve">TradeJournal/</t>
  </si>
  <si>
    <t xml:space="preserve">journal/</t>
  </si>
  <si>
    <t xml:space="preserve">Standalone app; own sync via a vault id</t>
  </si>
  <si>
    <t xml:space="preserve">S-10</t>
  </si>
  <si>
    <t xml:space="preserve">News app (News1)</t>
  </si>
  <si>
    <t xml:space="preserve">News1/</t>
  </si>
  <si>
    <t xml:space="preserve">Separate Vite+Express service; npm advisories open</t>
  </si>
  <si>
    <t xml:space="preserve">A-01</t>
  </si>
  <si>
    <t xml:space="preserve">Arya chat (streaming, profile context)</t>
  </si>
  <si>
    <t xml:space="preserve">js/arya-ai.js</t>
  </si>
  <si>
    <t xml:space="preserve">(tabs)/arya</t>
  </si>
  <si>
    <t xml:space="preserve">POST /api/chat SSE</t>
  </si>
  <si>
    <t xml:space="preserve">A-02</t>
  </si>
  <si>
    <t xml:space="preserve">Arya: PULSE ranked insights (24 sections)</t>
  </si>
  <si>
    <t xml:space="preserve">js/arya-sidebar-panel.js</t>
  </si>
  <si>
    <t xml:space="preserve">arya/pulse</t>
  </si>
  <si>
    <t xml:space="preserve">Ranking: js/arya-pulse-rank.js</t>
  </si>
  <si>
    <t xml:space="preserve">A-03</t>
  </si>
  <si>
    <t xml:space="preserve">Arya: Plan / Map / Life tabs</t>
  </si>
  <si>
    <t xml:space="preserve">js/arya-sidebar-panel.js + arya-roadmap.js</t>
  </si>
  <si>
    <t xml:space="preserve">arya/plan</t>
  </si>
  <si>
    <t xml:space="preserve">A-04</t>
  </si>
  <si>
    <t xml:space="preserve">Arya: Cal / India / Agent tabs</t>
  </si>
  <si>
    <t xml:space="preserve">arya/agent</t>
  </si>
  <si>
    <t xml:space="preserve">A-05</t>
  </si>
  <si>
    <t xml:space="preserve">Arya: agent tools (33+, live quotes, analysis, scenarios)</t>
  </si>
  <si>
    <t xml:space="preserve">arya/tools</t>
  </si>
  <si>
    <t xml:space="preserve">Backend tools exist; phone has no tool loop</t>
  </si>
  <si>
    <t xml:space="preserve">A-06</t>
  </si>
  <si>
    <t xml:space="preserve">Arya: long-term memory &amp; life events</t>
  </si>
  <si>
    <t xml:space="preserve">js/arya-memory.js, arya-life-events.js</t>
  </si>
  <si>
    <t xml:space="preserve">arya/memory</t>
  </si>
  <si>
    <t xml:space="preserve">A-07</t>
  </si>
  <si>
    <t xml:space="preserve">Arya: safety guardrails on advice prompts</t>
  </si>
  <si>
    <t xml:space="preserve">js/arya-guardrails.js</t>
  </si>
  <si>
    <t xml:space="preserve">Same rules and wording as js/arya-guardrails.js (parity-tested on 420+ pairs); tax-evasion requests are refused on the phone before any network call; notes are appended to finished or stopped answers.</t>
  </si>
  <si>
    <t xml:space="preserve">A-08</t>
  </si>
  <si>
    <t xml:space="preserve">Voice agent (speech in / out)</t>
  </si>
  <si>
    <t xml:space="preserve">voiceagent/</t>
  </si>
  <si>
    <t xml:space="preserve">arya/voice</t>
  </si>
  <si>
    <t xml:space="preserve">Mic permission is declared in app.json; no feature built</t>
  </si>
  <si>
    <t xml:space="preserve">A-09</t>
  </si>
  <si>
    <t xml:space="preserve">Money AI page / chatbot brain / RAG filings</t>
  </si>
  <si>
    <t xml:space="preserve">html/money-ai.html, chatbot/, rag-engine/</t>
  </si>
  <si>
    <t xml:space="preserve">arya/</t>
  </si>
  <si>
    <t xml:space="preserve">P-01</t>
  </si>
  <si>
    <t xml:space="preserve">Light / Bloomberg / Saffron themes</t>
  </si>
  <si>
    <t xml:space="preserve">css/theme.css</t>
  </si>
  <si>
    <t xml:space="preserve">Phone is dark-only</t>
  </si>
  <si>
    <t xml:space="preserve">P-02</t>
  </si>
  <si>
    <t xml:space="preserve">Hindi UI (and lakh/crore units)</t>
  </si>
  <si>
    <t xml:space="preserve">js/finos-i18n.js, js/i18n/hi.js</t>
  </si>
  <si>
    <t xml:space="preserve">P-03</t>
  </si>
  <si>
    <t xml:space="preserve">Passcode lock + encrypted backups (vault)</t>
  </si>
  <si>
    <t xml:space="preserve">js/finos-vault.js</t>
  </si>
  <si>
    <t xml:space="preserve">Phone could use OS biometrics instead</t>
  </si>
  <si>
    <t xml:space="preserve">P-04</t>
  </si>
  <si>
    <t xml:space="preserve">Global search (⌘K)</t>
  </si>
  <si>
    <t xml:space="preserve">js/finos-search.js</t>
  </si>
  <si>
    <t xml:space="preserve">P-05</t>
  </si>
  <si>
    <t xml:space="preserve">Alerts bell (alert engine, 14 rules)</t>
  </si>
  <si>
    <t xml:space="preserve">js/finos-alerts.js, alerts/</t>
  </si>
  <si>
    <t xml:space="preserve">Backend runs on the user's machine</t>
  </si>
  <si>
    <t xml:space="preserve">P-06</t>
  </si>
  <si>
    <t xml:space="preserve">Local notifications / background reminders</t>
  </si>
  <si>
    <t xml:space="preserve">js/finos-reminders.js</t>
  </si>
  <si>
    <t xml:space="preserve">Settings has a toggle with no effect</t>
  </si>
  <si>
    <t xml:space="preserve">P-07</t>
  </si>
  <si>
    <t xml:space="preserve">Personalization: greetings, nudges, status strip</t>
  </si>
  <si>
    <t xml:space="preserve">js/finos-personalization.js</t>
  </si>
  <si>
    <t xml:space="preserve">P-08</t>
  </si>
  <si>
    <t xml:space="preserve">Onboarding + DNA quiz</t>
  </si>
  <si>
    <t xml:space="preserve">html/onboarding.html, dna.html</t>
  </si>
  <si>
    <t xml:space="preserve">Health score pillars for DNA/learning show neutral defaults</t>
  </si>
  <si>
    <t xml:space="preserve">P-09</t>
  </si>
  <si>
    <t xml:space="preserve">Profile page</t>
  </si>
  <si>
    <t xml:space="preserve">html/profile.html</t>
  </si>
  <si>
    <t xml:space="preserve">P-10</t>
  </si>
  <si>
    <t xml:space="preserve">Google sign-in</t>
  </si>
  <si>
    <t xml:space="preserve">js/auth.js</t>
  </si>
  <si>
    <t xml:space="preserve">Enabled on the Supabase project</t>
  </si>
  <si>
    <t xml:space="preserve">P-11</t>
  </si>
  <si>
    <t xml:space="preserve">Feedback loop + usage opt-in</t>
  </si>
  <si>
    <t xml:space="preserve">js/finos-feedback.js</t>
  </si>
  <si>
    <t xml:space="preserve">P-12</t>
  </si>
  <si>
    <t xml:space="preserve">Settings parity (every preference takes effect)</t>
  </si>
  <si>
    <t xml:space="preserve">html/settings.html</t>
  </si>
  <si>
    <t xml:space="preserve">The no-effect 'Price Alerts' switch was removed; Settings now says reminders are not available and points to the Financial calendar. Name, income and backend host all take effect.</t>
  </si>
  <si>
    <t xml:space="preserve">P-13</t>
  </si>
  <si>
    <t xml:space="preserve">Export / backup my data</t>
  </si>
  <si>
    <t xml:space="preserve">Privacy &amp; your data → Export my data (JSON; sign-in tokens never included).</t>
  </si>
  <si>
    <t xml:space="preserve">P-14</t>
  </si>
  <si>
    <t xml:space="preserve">Login, sign-up, sign-out (email + password)</t>
  </si>
  <si>
    <t xml:space="preserve">Built; real sign-in untested against the live project</t>
  </si>
  <si>
    <t xml:space="preserve">P-15</t>
  </si>
  <si>
    <t xml:space="preserve">Tracker sync with the website (three-way merge)</t>
  </si>
  <si>
    <t xml:space="preserve">js/finos-tracker-sync.js</t>
  </si>
  <si>
    <t xml:space="preserve">Built and tested against mocks; needs the live table</t>
  </si>
  <si>
    <t xml:space="preserve">P-16</t>
  </si>
  <si>
    <t xml:space="preserve">Holdings cloud sync</t>
  </si>
  <si>
    <t xml:space="preserve">supabase/holdings.sql</t>
  </si>
  <si>
    <t xml:space="preserve">R-01</t>
  </si>
  <si>
    <t xml:space="preserve">Run supabase/profiles_rls.sql (closes the open profiles table)</t>
  </si>
  <si>
    <t xml:space="preserve">supabase/profiles_rls.sql</t>
  </si>
  <si>
    <t xml:space="preserve">Needs the user's Supabase dashboard login — 13 profile rows were readable with the public key</t>
  </si>
  <si>
    <t xml:space="preserve">R-02</t>
  </si>
  <si>
    <t xml:space="preserve">Run core_tables.sql, holdings.sql, tracker_snapshot.sql</t>
  </si>
  <si>
    <t xml:space="preserve">supabase/</t>
  </si>
  <si>
    <t xml:space="preserve">Needs the user's Supabase dashboard login</t>
  </si>
  <si>
    <t xml:space="preserve">R-03</t>
  </si>
  <si>
    <t xml:space="preserve">Real sign-in + sync test on the live project</t>
  </si>
  <si>
    <t xml:space="preserve">mobile/</t>
  </si>
  <si>
    <t xml:space="preserve">Needs the SQL above and the user's credentials</t>
  </si>
  <si>
    <t xml:space="preserve">R-04</t>
  </si>
  <si>
    <t xml:space="preserve">Privacy &amp; consent screen (what is stored, what is shared, switches)</t>
  </si>
  <si>
    <t xml:space="preserve">html/privacy.html, js/finos-privacy.js</t>
  </si>
  <si>
    <t xml:space="preserve">Built: what is on the phone (live counts), every data flow, never-do list, permissions, export / erase. Guard tests fail if a new host or permission appears. Operator details left blank on purpose.</t>
  </si>
  <si>
    <t xml:space="preserve">R-05</t>
  </si>
  <si>
    <t xml:space="preserve">Terms of use screen</t>
  </si>
  <si>
    <t xml:space="preserve">html/terms.html</t>
  </si>
  <si>
    <t xml:space="preserve">Port of html/terms.html, kept as a draft for legal review; operator/liability/law not invented.</t>
  </si>
  <si>
    <t xml:space="preserve">R-06</t>
  </si>
  <si>
    <t xml:space="preserve">Account deletion + data erase</t>
  </si>
  <si>
    <t xml:space="preserve">—</t>
  </si>
  <si>
    <t xml:space="preserve">App side built and tested (erase phone, delete cloud copy, delete account via RPC). Needs supabase/delete_account.sql run on the live project before 'Delete my account' works.</t>
  </si>
  <si>
    <t xml:space="preserve">R-07</t>
  </si>
  <si>
    <t xml:space="preserve">Restart Arya backend (new key + sector route)</t>
  </si>
  <si>
    <t xml:space="preserve">arya-ai/</t>
  </si>
  <si>
    <t xml:space="preserve">Old process is still running without the new code</t>
  </si>
  <si>
    <t xml:space="preserve">R-08</t>
  </si>
  <si>
    <t xml:space="preserve">EAS device build (iOS + Android)</t>
  </si>
  <si>
    <t xml:space="preserve">mobile/eas.json</t>
  </si>
  <si>
    <t xml:space="preserve">Needs Apple/Google credentials</t>
  </si>
  <si>
    <t xml:space="preserve">R-09</t>
  </si>
  <si>
    <t xml:space="preserve">Real-device test of file picker, share, keyboard, safe areas</t>
  </si>
  <si>
    <t xml:space="preserve">Everything so far ran in the web preview</t>
  </si>
  <si>
    <t xml:space="preserve">R-10</t>
  </si>
  <si>
    <t xml:space="preserve">Push / local notification permission flow</t>
  </si>
  <si>
    <t xml:space="preserve">R-11</t>
  </si>
  <si>
    <t xml:space="preserve">App icon, splash, screenshots, store listing</t>
  </si>
  <si>
    <t xml:space="preserve">mobile/assets</t>
  </si>
  <si>
    <t xml:space="preserve">Placeholders only</t>
  </si>
  <si>
    <t xml:space="preserve">R-12</t>
  </si>
  <si>
    <t xml:space="preserve">Accessibility pass (labels, contrast, large text)</t>
  </si>
  <si>
    <t xml:space="preserve">Static pass done and guarded by __tests__/a11y.test.mts: every touchable/input has a role or label, icon-only buttons are labelled, text colours reach 4.5:1 (textDim raised from 2.6:1, purple text uses purpleInk), system font scaling is left on. Not yet tried with VoiceOver / TalkBack on a device.</t>
  </si>
  <si>
    <t xml:space="preserve">R-13</t>
  </si>
  <si>
    <t xml:space="preserve">Crash reporting + opt-in analytics</t>
  </si>
  <si>
    <t xml:space="preserve">R-14</t>
  </si>
  <si>
    <t xml:space="preserve">Offline behaviour for markets and chat</t>
  </si>
  <si>
    <t xml:space="preserve">R-15</t>
  </si>
  <si>
    <t xml:space="preserve">Test coverage for React screens</t>
  </si>
  <si>
    <t xml:space="preserve">mobile/__tests__/</t>
  </si>
  <si>
    <t xml:space="preserve">Pure logic is covered (51 tests); screens are verified by hand in the preview</t>
  </si>
  <si>
    <t xml:space="preserve">R-16</t>
  </si>
  <si>
    <t xml:space="preserve">Run supabase/delete_account.sql (enables 'Delete my account')</t>
  </si>
  <si>
    <t xml:space="preserve">supabase/delete_account.sql</t>
  </si>
  <si>
    <t xml:space="preserve">R-17</t>
  </si>
  <si>
    <t xml:space="preserve">Declare only the permissions the app uses (no mic / camera / speech)</t>
  </si>
  <si>
    <t xml:space="preserve">mobile/app.json</t>
  </si>
  <si>
    <t xml:space="preserve">Removed unused microphone, camera and speech permissions and the expo-av plugin; a test now fails if they return</t>
  </si>
  <si>
    <t xml:space="preserve">Order</t>
  </si>
  <si>
    <t xml:space="preserve">Order 1 items need the owner (Supabase dashboard / device credentials). The rest are built in sequence, top to bottom.</t>
  </si>
  <si>
    <t xml:space="preserve">Date</t>
  </si>
  <si>
    <t xml:space="preserve">ID(s)</t>
  </si>
  <si>
    <t xml:space="preserve">What was built</t>
  </si>
  <si>
    <t xml:space="preserve">Verification</t>
  </si>
  <si>
    <t xml:space="preserve">Tests after</t>
  </si>
  <si>
    <t xml:space="preserve">2026-10-04</t>
  </si>
  <si>
    <t xml:space="preserve">T-03, C-64, C-79</t>
  </si>
  <si>
    <t xml:space="preserve">Subscription Tracker; Prepay-or-Invest; Job Offer Comparer</t>
  </si>
  <si>
    <t xml:space="preserve">Parity tests vs the website; preview run</t>
  </si>
  <si>
    <t xml:space="preserve">22</t>
  </si>
  <si>
    <t xml:space="preserve">2026-10-11</t>
  </si>
  <si>
    <t xml:space="preserve">P-15, P-16</t>
  </si>
  <si>
    <t xml:space="preserve">Tracker sync (three-way merge) + holdings sync; website sync upgraded to v2</t>
  </si>
  <si>
    <t xml:space="preserve">Phone engine vs website module; PostgREST-rules server; mock-Supabase UI run</t>
  </si>
  <si>
    <t xml:space="preserve">33</t>
  </si>
  <si>
    <t xml:space="preserve">M-01, M-02</t>
  </si>
  <si>
    <t xml:space="preserve">Live sector indices; removed invented index prices, FII/DII and Account Aggregator demos</t>
  </si>
  <si>
    <t xml:space="preserve">Route verified in-process (8 sectors from NSE)</t>
  </si>
  <si>
    <t xml:space="preserve">Bank statement import (CSV / AA JSON): preview, dedupe, undo</t>
  </si>
  <si>
    <t xml:space="preserve">700 random statements identical to the website; preview run</t>
  </si>
  <si>
    <t xml:space="preserve">43</t>
  </si>
  <si>
    <t xml:space="preserve">Money Score: six pillars, ranked next moves, what-if, history</t>
  </si>
  <si>
    <t xml:space="preserve">1,500 random inputs identical to the website; preview run</t>
  </si>
  <si>
    <t xml:space="preserve">51</t>
  </si>
  <si>
    <t xml:space="preserve">R-04, R-05, R-06, R-17</t>
  </si>
  <si>
    <t xml:space="preserve">Privacy &amp; your data screen, Terms of use, export / erase / delete cloud copy / delete account (RPC); removed unused phone permissions</t>
  </si>
  <si>
    <t xml:space="preserve">63 tests incl. guards (no new host, no new permission, no analytics SDK); preview run: counts, export without token, erase</t>
  </si>
  <si>
    <t xml:space="preserve">63</t>
  </si>
  <si>
    <t xml:space="preserve">Retirement planner: projected corpus vs 25× need, Monte Carlo success odds (4,000 futures), fan chart, monthly-SIP solver</t>
  </si>
  <si>
    <t xml:space="preserve">Engine seeded-identical to the website on 40 configs; solveContribution identical (24,500 on the preview profile); plan identical on 400 random stored profiles</t>
  </si>
  <si>
    <t xml:space="preserve">68</t>
  </si>
  <si>
    <t xml:space="preserve">T-31 (savings tracker), T-33, T-09, T-06</t>
  </si>
  <si>
    <t xml:space="preserve">Tax Savings (deduction headroom vs regime), Future Loss, Deposits &amp; fixed income, Debt payoff (avalanche / snowball)</t>
  </si>
  <si>
    <t xml:space="preserve">savingsPlan identical to the website on 2,000 random cases; leak on 800 ledgers; FD on 1,500 entries; debt on 600 loan sets; preview run of all four screens</t>
  </si>
  <si>
    <t xml:space="preserve">94</t>
  </si>
  <si>
    <t xml:space="preserve">T-27, T-28, T-14</t>
  </si>
  <si>
    <t xml:space="preserve">Salary structure (CTC → take-home, HRA, tips), SIP step-up planner, Home loan EMI &amp; prepayment planner</t>
  </si>
  <si>
    <t xml:space="preserve">Salary 1,500 random salaries + tips identical to the website; step-up 1,500 inputs incl. junk; home loan 1,200 loans + prepayment; preview run of all three screens</t>
  </si>
  <si>
    <t xml:space="preserve">127</t>
  </si>
  <si>
    <t xml:space="preserve">T-13, T-10 (calendar view)</t>
  </si>
  <si>
    <t xml:space="preserve">Gold tracker; Financial calendar (month grid, upcoming, summary)</t>
  </si>
  <si>
    <t xml:space="preserve">Gold total/coupon identical to the website on 400 portfolios; calendar events identical on 150 random households with a frozen clock; tax dates identical over 4 ranges; preview run</t>
  </si>
  <si>
    <t xml:space="preserve">134</t>
  </si>
  <si>
    <t xml:space="preserve">S-02, A-07</t>
  </si>
  <si>
    <t xml:space="preserve">Broker holdings CSV import (preview, replace-not-add, undo-safe); Arya safety guardrails</t>
  </si>
  <si>
    <t xml:space="preserve">Holdings parser identical to the website on 700 random files; guardrails identical on 405 user×reply pairs; preview run: import into Portfolio, evasion refused with no /api/chat request, normal answer streams</t>
  </si>
  <si>
    <t xml:space="preserve">146</t>
  </si>
  <si>
    <t xml:space="preserve">T-04, T-05</t>
  </si>
  <si>
    <t xml:space="preserve">Credit score tracker; Crypto tracker (found in the tree from a parallel session, verified and logged here)</t>
  </si>
  <si>
    <t xml:space="preserve">Both screens rendered in the preview without console errors; their parity tests are part of the 146</t>
  </si>
  <si>
    <t xml:space="preserve">T-31 (Tax Planner)</t>
  </si>
  <si>
    <t xml:space="preserve">Tax Planner: both regimes side by side with surcharge, HRA, deductions, capital gains and actions; website surcharge corrected</t>
  </si>
  <si>
    <t xml:space="preserve">Identical to the website on 1,500 random taxpayers (incl. 100+ above ₹50L); agrees with the shared tax core up to ₹50L; website tax-consistency tests pass; preview run</t>
  </si>
  <si>
    <t xml:space="preserve">152</t>
  </si>
  <si>
    <t xml:space="preserve">R-12, P-12</t>
  </si>
  <si>
    <t xml:space="preserve">Accessibility pass (labels, roles, contrast, guard test); Settings no longer shows a toggle that does nothing</t>
  </si>
  <si>
    <t xml:space="preserve">a11y guard test (4 checks); contrast computed against the theme; preview run of Settings</t>
  </si>
  <si>
    <t xml:space="preserve">156</t>
  </si>
  <si>
    <t xml:space="preserve">Bonus &amp; windfall allocator</t>
  </si>
  <si>
    <t xml:space="preserve">Waterfall identical to the website on 1,000 random households; bonus tax figures equal what the website prints; preview run</t>
  </si>
  <si>
    <t xml:space="preserve">161</t>
  </si>
  <si>
    <t xml:space="preserve">Passive income tracker</t>
  </si>
  <si>
    <t xml:space="preserve">Total and coverage identical to the website's _recompute on 800 random stream lists; preview run</t>
  </si>
  <si>
    <t xml:space="preserve">167</t>
  </si>
  <si>
    <t xml:space="preserve">Life cover needed calculator (linked from Insurance)</t>
  </si>
  <si>
    <t xml:space="preserve">Identical to the website on 1,500 random profiles incl. equal discount/inflation; preview run</t>
  </si>
  <si>
    <t xml:space="preserve">170</t>
  </si>
  <si>
    <t xml:space="preserve">Portfolio rebalancer</t>
  </si>
  <si>
    <t xml:space="preserve">Class rows, normalised target and drift flag identical to the website on 1,000 portfolios; preview run</t>
  </si>
  <si>
    <t xml:space="preserve">175</t>
  </si>
  <si>
    <t xml:space="preserve">ITR prep kit (linked from the Tax planner)</t>
  </si>
  <si>
    <t xml:space="preserve">Every figure identical to the website's _compute on 800 random sets of stored values with a frozen clock; preview run</t>
  </si>
  <si>
    <t xml:space="preserve">179</t>
  </si>
  <si>
    <t xml:space="preserve">Goal optimizer (linked from Goals); website double-counted inflation on saved money and was fixed</t>
  </si>
  <si>
    <t xml:space="preserve">Identical to the corrected website on 800 random goal sets with a frozen clock; website suite 327/327; preview run</t>
  </si>
  <si>
    <t xml:space="preserve">183</t>
  </si>
  <si>
    <t xml:space="preserve">Term</t>
  </si>
  <si>
    <t xml:space="preserve">Done = built, tested, verified in the preview. Partial = part of the website feature exists. Pending = not started. Blocked = needs something only the owner can provide. Not planned = deliberately left out.</t>
  </si>
  <si>
    <t xml:space="preserve">P0 release blocker · P1 high value for daily use · P2 useful · P3 long tail</t>
  </si>
  <si>
    <t xml:space="preserve">S = under a day · M = one to three days · L = more than three days (rough, for ordering only)</t>
  </si>
  <si>
    <t xml:space="preserve">1 = owner actions that unblock everything · 2 = store-required screens · 3 onward = the next ports, top to bottom</t>
  </si>
  <si>
    <t xml:space="preserve">Done means</t>
  </si>
  <si>
    <t xml:space="preserve">Pure logic ported with a parity test against the website's own module, storage covered by tests, and the screen exercised in the browser preview. Not yet run on a physical device.</t>
  </si>
  <si>
    <t xml:space="preserve">Editing</t>
  </si>
  <si>
    <t xml:space="preserve">Change 'Phone status' with the dropdown; the Summary and Build order sheets recalculate.</t>
  </si>
  <si>
    <t xml:space="preserve">Source</t>
  </si>
  <si>
    <t xml:space="preserve">Counts come from files on disk on 2026-10-12: 123 pages in html/, 90 calculators, 30 Command Hub entries in js/finos-search.js.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</si>
</sst>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B3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D9B3FF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D9B3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3"/>
    <col collapsed="false" customWidth="true" hidden="false" outlineLevel="0" max="3" min="3" style="1" width="16"/>
    <col collapsed="false" customWidth="true" hidden="false" outlineLevel="0" max="7" min="4" style="1" width="13"/>
    <col collapsed="false" customWidth="true" hidden="false" outlineLevel="0" max="8" min="8" style="1" width="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true" outlineLevel="0" collapsed="false">
      <c r="A5" s="5" t="s">
        <v>10</v>
      </c>
      <c r="B5" s="6" t="n">
        <f aca="false">COUNTIFS('Parity Tracker'!$B$2:$B$255,$A5,'Parity Tracker'!$E$2:$E$255,"Done")</f>
        <v>27</v>
      </c>
      <c r="C5" s="6" t="n">
        <f aca="false">COUNTIFS('Parity Tracker'!$B$2:$B$255,$A5,'Parity Tracker'!$E$2:$E$255,"Partial")</f>
        <v>3</v>
      </c>
      <c r="D5" s="6" t="n">
        <f aca="false">COUNTIFS('Parity Tracker'!$B$2:$B$255,$A5,'Parity Tracker'!$E$2:$E$255,"Pending")</f>
        <v>9</v>
      </c>
      <c r="E5" s="6" t="n">
        <f aca="false">COUNTIFS('Parity Tracker'!$B$2:$B$255,$A5,'Parity Tracker'!$E$2:$E$255,"Blocked")</f>
        <v>0</v>
      </c>
      <c r="F5" s="6" t="n">
        <f aca="false">COUNTIFS('Parity Tracker'!$B$2:$B$255,$A5,'Parity Tracker'!$E$2:$E$255,"Not planned")</f>
        <v>1</v>
      </c>
      <c r="G5" s="6" t="n">
        <f aca="false">SUM(B5:F5)</f>
        <v>40</v>
      </c>
      <c r="H5" s="7" t="n">
        <f aca="false">IF((G5-F5)=0,0,(B5+0.5*C5)/(G5-F5))</f>
        <v>0.730769230769231</v>
      </c>
    </row>
    <row r="6" customFormat="false" ht="15" hidden="false" customHeight="true" outlineLevel="0" collapsed="false">
      <c r="A6" s="5" t="s">
        <v>11</v>
      </c>
      <c r="B6" s="6" t="n">
        <f aca="false">COUNTIFS('Parity Tracker'!$B$2:$B$255,$A6,'Parity Tracker'!$E$2:$E$255,"Done")</f>
        <v>2</v>
      </c>
      <c r="C6" s="6" t="n">
        <f aca="false">COUNTIFS('Parity Tracker'!$B$2:$B$255,$A6,'Parity Tracker'!$E$2:$E$255,"Partial")</f>
        <v>0</v>
      </c>
      <c r="D6" s="6" t="n">
        <f aca="false">COUNTIFS('Parity Tracker'!$B$2:$B$255,$A6,'Parity Tracker'!$E$2:$E$255,"Pending")</f>
        <v>88</v>
      </c>
      <c r="E6" s="6" t="n">
        <f aca="false">COUNTIFS('Parity Tracker'!$B$2:$B$255,$A6,'Parity Tracker'!$E$2:$E$255,"Blocked")</f>
        <v>0</v>
      </c>
      <c r="F6" s="6" t="n">
        <f aca="false">COUNTIFS('Parity Tracker'!$B$2:$B$255,$A6,'Parity Tracker'!$E$2:$E$255,"Not planned")</f>
        <v>0</v>
      </c>
      <c r="G6" s="6" t="n">
        <f aca="false">SUM(B6:F6)</f>
        <v>90</v>
      </c>
      <c r="H6" s="7" t="n">
        <f aca="false">IF((G6-F6)=0,0,(B6+0.5*C6)/(G6-F6))</f>
        <v>0.0222222222222222</v>
      </c>
    </row>
    <row r="7" customFormat="false" ht="15" hidden="false" customHeight="true" outlineLevel="0" collapsed="false">
      <c r="A7" s="5" t="s">
        <v>12</v>
      </c>
      <c r="B7" s="6" t="n">
        <f aca="false">COUNTIFS('Parity Tracker'!$B$2:$B$255,$A7,'Parity Tracker'!$E$2:$E$255,"Done")</f>
        <v>0</v>
      </c>
      <c r="C7" s="6" t="n">
        <f aca="false">COUNTIFS('Parity Tracker'!$B$2:$B$255,$A7,'Parity Tracker'!$E$2:$E$255,"Partial")</f>
        <v>0</v>
      </c>
      <c r="D7" s="6" t="n">
        <f aca="false">COUNTIFS('Parity Tracker'!$B$2:$B$255,$A7,'Parity Tracker'!$E$2:$E$255,"Pending")</f>
        <v>51</v>
      </c>
      <c r="E7" s="6" t="n">
        <f aca="false">COUNTIFS('Parity Tracker'!$B$2:$B$255,$A7,'Parity Tracker'!$E$2:$E$255,"Blocked")</f>
        <v>0</v>
      </c>
      <c r="F7" s="6" t="n">
        <f aca="false">COUNTIFS('Parity Tracker'!$B$2:$B$255,$A7,'Parity Tracker'!$E$2:$E$255,"Not planned")</f>
        <v>0</v>
      </c>
      <c r="G7" s="6" t="n">
        <f aca="false">SUM(B7:F7)</f>
        <v>51</v>
      </c>
      <c r="H7" s="7" t="n">
        <f aca="false">IF((G7-F7)=0,0,(B7+0.5*C7)/(G7-F7))</f>
        <v>0</v>
      </c>
    </row>
    <row r="8" customFormat="false" ht="15" hidden="false" customHeight="true" outlineLevel="0" collapsed="false">
      <c r="A8" s="5" t="s">
        <v>13</v>
      </c>
      <c r="B8" s="6" t="n">
        <f aca="false">COUNTIFS('Parity Tracker'!$B$2:$B$255,$A8,'Parity Tracker'!$E$2:$E$255,"Done")</f>
        <v>2</v>
      </c>
      <c r="C8" s="6" t="n">
        <f aca="false">COUNTIFS('Parity Tracker'!$B$2:$B$255,$A8,'Parity Tracker'!$E$2:$E$255,"Partial")</f>
        <v>0</v>
      </c>
      <c r="D8" s="6" t="n">
        <f aca="false">COUNTIFS('Parity Tracker'!$B$2:$B$255,$A8,'Parity Tracker'!$E$2:$E$255,"Pending")</f>
        <v>18</v>
      </c>
      <c r="E8" s="6" t="n">
        <f aca="false">COUNTIFS('Parity Tracker'!$B$2:$B$255,$A8,'Parity Tracker'!$E$2:$E$255,"Blocked")</f>
        <v>1</v>
      </c>
      <c r="F8" s="6" t="n">
        <f aca="false">COUNTIFS('Parity Tracker'!$B$2:$B$255,$A8,'Parity Tracker'!$E$2:$E$255,"Not planned")</f>
        <v>0</v>
      </c>
      <c r="G8" s="6" t="n">
        <f aca="false">SUM(B8:F8)</f>
        <v>21</v>
      </c>
      <c r="H8" s="7" t="n">
        <f aca="false">IF((G8-F8)=0,0,(B8+0.5*C8)/(G8-F8))</f>
        <v>0.0952380952380952</v>
      </c>
    </row>
    <row r="9" customFormat="false" ht="15" hidden="false" customHeight="true" outlineLevel="0" collapsed="false">
      <c r="A9" s="5" t="s">
        <v>14</v>
      </c>
      <c r="B9" s="6" t="n">
        <f aca="false">COUNTIFS('Parity Tracker'!$B$2:$B$255,$A9,'Parity Tracker'!$E$2:$E$255,"Done")</f>
        <v>2</v>
      </c>
      <c r="C9" s="6" t="n">
        <f aca="false">COUNTIFS('Parity Tracker'!$B$2:$B$255,$A9,'Parity Tracker'!$E$2:$E$255,"Partial")</f>
        <v>0</v>
      </c>
      <c r="D9" s="6" t="n">
        <f aca="false">COUNTIFS('Parity Tracker'!$B$2:$B$255,$A9,'Parity Tracker'!$E$2:$E$255,"Pending")</f>
        <v>7</v>
      </c>
      <c r="E9" s="6" t="n">
        <f aca="false">COUNTIFS('Parity Tracker'!$B$2:$B$255,$A9,'Parity Tracker'!$E$2:$E$255,"Blocked")</f>
        <v>0</v>
      </c>
      <c r="F9" s="6" t="n">
        <f aca="false">COUNTIFS('Parity Tracker'!$B$2:$B$255,$A9,'Parity Tracker'!$E$2:$E$255,"Not planned")</f>
        <v>1</v>
      </c>
      <c r="G9" s="6" t="n">
        <f aca="false">SUM(B9:F9)</f>
        <v>10</v>
      </c>
      <c r="H9" s="7" t="n">
        <f aca="false">IF((G9-F9)=0,0,(B9+0.5*C9)/(G9-F9))</f>
        <v>0.222222222222222</v>
      </c>
    </row>
    <row r="10" customFormat="false" ht="15" hidden="false" customHeight="true" outlineLevel="0" collapsed="false">
      <c r="A10" s="5" t="s">
        <v>15</v>
      </c>
      <c r="B10" s="6" t="n">
        <f aca="false">COUNTIFS('Parity Tracker'!$B$2:$B$255,$A10,'Parity Tracker'!$E$2:$E$255,"Done")</f>
        <v>2</v>
      </c>
      <c r="C10" s="6" t="n">
        <f aca="false">COUNTIFS('Parity Tracker'!$B$2:$B$255,$A10,'Parity Tracker'!$E$2:$E$255,"Partial")</f>
        <v>0</v>
      </c>
      <c r="D10" s="6" t="n">
        <f aca="false">COUNTIFS('Parity Tracker'!$B$2:$B$255,$A10,'Parity Tracker'!$E$2:$E$255,"Pending")</f>
        <v>7</v>
      </c>
      <c r="E10" s="6" t="n">
        <f aca="false">COUNTIFS('Parity Tracker'!$B$2:$B$255,$A10,'Parity Tracker'!$E$2:$E$255,"Blocked")</f>
        <v>0</v>
      </c>
      <c r="F10" s="6" t="n">
        <f aca="false">COUNTIFS('Parity Tracker'!$B$2:$B$255,$A10,'Parity Tracker'!$E$2:$E$255,"Not planned")</f>
        <v>0</v>
      </c>
      <c r="G10" s="6" t="n">
        <f aca="false">SUM(B10:F10)</f>
        <v>9</v>
      </c>
      <c r="H10" s="7" t="n">
        <f aca="false">IF((G10-F10)=0,0,(B10+0.5*C10)/(G10-F10))</f>
        <v>0.222222222222222</v>
      </c>
    </row>
    <row r="11" customFormat="false" ht="15" hidden="false" customHeight="true" outlineLevel="0" collapsed="false">
      <c r="A11" s="5" t="s">
        <v>16</v>
      </c>
      <c r="B11" s="6" t="n">
        <f aca="false">COUNTIFS('Parity Tracker'!$B$2:$B$255,$A11,'Parity Tracker'!$E$2:$E$255,"Done")</f>
        <v>5</v>
      </c>
      <c r="C11" s="6" t="n">
        <f aca="false">COUNTIFS('Parity Tracker'!$B$2:$B$255,$A11,'Parity Tracker'!$E$2:$E$255,"Partial")</f>
        <v>0</v>
      </c>
      <c r="D11" s="6" t="n">
        <f aca="false">COUNTIFS('Parity Tracker'!$B$2:$B$255,$A11,'Parity Tracker'!$E$2:$E$255,"Pending")</f>
        <v>11</v>
      </c>
      <c r="E11" s="6" t="n">
        <f aca="false">COUNTIFS('Parity Tracker'!$B$2:$B$255,$A11,'Parity Tracker'!$E$2:$E$255,"Blocked")</f>
        <v>0</v>
      </c>
      <c r="F11" s="6" t="n">
        <f aca="false">COUNTIFS('Parity Tracker'!$B$2:$B$255,$A11,'Parity Tracker'!$E$2:$E$255,"Not planned")</f>
        <v>0</v>
      </c>
      <c r="G11" s="6" t="n">
        <f aca="false">SUM(B11:F11)</f>
        <v>16</v>
      </c>
      <c r="H11" s="7" t="n">
        <f aca="false">IF((G11-F11)=0,0,(B11+0.5*C11)/(G11-F11))</f>
        <v>0.3125</v>
      </c>
    </row>
    <row r="12" customFormat="false" ht="15" hidden="false" customHeight="true" outlineLevel="0" collapsed="false">
      <c r="A12" s="5" t="s">
        <v>17</v>
      </c>
      <c r="B12" s="6" t="n">
        <f aca="false">COUNTIFS('Parity Tracker'!$B$2:$B$255,$A12,'Parity Tracker'!$E$2:$E$255,"Done")</f>
        <v>3</v>
      </c>
      <c r="C12" s="6" t="n">
        <f aca="false">COUNTIFS('Parity Tracker'!$B$2:$B$255,$A12,'Parity Tracker'!$E$2:$E$255,"Partial")</f>
        <v>2</v>
      </c>
      <c r="D12" s="6" t="n">
        <f aca="false">COUNTIFS('Parity Tracker'!$B$2:$B$255,$A12,'Parity Tracker'!$E$2:$E$255,"Pending")</f>
        <v>6</v>
      </c>
      <c r="E12" s="6" t="n">
        <f aca="false">COUNTIFS('Parity Tracker'!$B$2:$B$255,$A12,'Parity Tracker'!$E$2:$E$255,"Blocked")</f>
        <v>6</v>
      </c>
      <c r="F12" s="6" t="n">
        <f aca="false">COUNTIFS('Parity Tracker'!$B$2:$B$255,$A12,'Parity Tracker'!$E$2:$E$255,"Not planned")</f>
        <v>0</v>
      </c>
      <c r="G12" s="6" t="n">
        <f aca="false">SUM(B12:F12)</f>
        <v>17</v>
      </c>
      <c r="H12" s="7" t="n">
        <f aca="false">IF((G12-F12)=0,0,(B12+0.5*C12)/(G12-F12))</f>
        <v>0.235294117647059</v>
      </c>
    </row>
    <row r="13" customFormat="false" ht="15" hidden="false" customHeight="true" outlineLevel="0" collapsed="false">
      <c r="A13" s="8" t="s">
        <v>18</v>
      </c>
      <c r="B13" s="9" t="n">
        <f aca="false">SUM(B5:B12)</f>
        <v>43</v>
      </c>
      <c r="C13" s="9" t="n">
        <f aca="false">SUM(C5:C12)</f>
        <v>5</v>
      </c>
      <c r="D13" s="9" t="n">
        <f aca="false">SUM(D5:D12)</f>
        <v>197</v>
      </c>
      <c r="E13" s="9" t="n">
        <f aca="false">SUM(E5:E12)</f>
        <v>7</v>
      </c>
      <c r="F13" s="9" t="n">
        <f aca="false">SUM(F5:F12)</f>
        <v>2</v>
      </c>
      <c r="G13" s="9" t="n">
        <f aca="false">SUM(G5:G12)</f>
        <v>254</v>
      </c>
      <c r="H13" s="10" t="n">
        <f aca="false">IF((G13-F13)=0,0,(B13+0.5*C13)/(G13-F13))</f>
        <v>0.180555555555556</v>
      </c>
    </row>
    <row r="15" customFormat="false" ht="15" hidden="false" customHeight="true" outlineLevel="0" collapsed="false">
      <c r="A15" s="11" t="s">
        <v>19</v>
      </c>
    </row>
    <row r="16" customFormat="false" ht="45.75" hidden="false" customHeight="true" outlineLevel="0" collapsed="false">
      <c r="A16" s="12" t="s">
        <v>20</v>
      </c>
      <c r="B16" s="12" t="s">
        <v>21</v>
      </c>
      <c r="C16" s="12" t="s">
        <v>22</v>
      </c>
    </row>
    <row r="17" customFormat="false" ht="15" hidden="false" customHeight="true" outlineLevel="0" collapsed="false">
      <c r="A17" s="5" t="s">
        <v>23</v>
      </c>
      <c r="B17" s="5" t="n">
        <f aca="false">COUNTIFS('Parity Tracker'!$F$2:$F$255,$A17,'Parity Tracker'!$E$2:$E$255,"Partial")+COUNTIFS('Parity Tracker'!$F$2:$F$255,$A17,'Parity Tracker'!$E$2:$E$255,"Pending")+COUNTIFS('Parity Tracker'!$F$2:$F$255,$A17,'Parity Tracker'!$E$2:$E$255,"Blocked")</f>
        <v>8</v>
      </c>
      <c r="C17" s="5" t="s">
        <v>24</v>
      </c>
    </row>
    <row r="18" customFormat="false" ht="15" hidden="false" customHeight="true" outlineLevel="0" collapsed="false">
      <c r="A18" s="5" t="s">
        <v>25</v>
      </c>
      <c r="B18" s="5" t="n">
        <f aca="false">COUNTIFS('Parity Tracker'!$F$2:$F$255,$A18,'Parity Tracker'!$E$2:$E$255,"Partial")+COUNTIFS('Parity Tracker'!$F$2:$F$255,$A18,'Parity Tracker'!$E$2:$E$255,"Pending")+COUNTIFS('Parity Tracker'!$F$2:$F$255,$A18,'Parity Tracker'!$E$2:$E$255,"Blocked")</f>
        <v>5</v>
      </c>
      <c r="C18" s="5" t="s">
        <v>26</v>
      </c>
    </row>
    <row r="19" customFormat="false" ht="15" hidden="false" customHeight="true" outlineLevel="0" collapsed="false">
      <c r="A19" s="5" t="s">
        <v>27</v>
      </c>
      <c r="B19" s="5" t="n">
        <f aca="false">COUNTIFS('Parity Tracker'!$F$2:$F$255,$A19,'Parity Tracker'!$E$2:$E$255,"Partial")+COUNTIFS('Parity Tracker'!$F$2:$F$255,$A19,'Parity Tracker'!$E$2:$E$255,"Pending")+COUNTIFS('Parity Tracker'!$F$2:$F$255,$A19,'Parity Tracker'!$E$2:$E$255,"Blocked")</f>
        <v>20</v>
      </c>
      <c r="C19" s="5" t="s">
        <v>28</v>
      </c>
    </row>
    <row r="20" customFormat="false" ht="15" hidden="false" customHeight="true" outlineLevel="0" collapsed="false">
      <c r="A20" s="5" t="s">
        <v>29</v>
      </c>
      <c r="B20" s="5" t="n">
        <f aca="false">COUNTIFS('Parity Tracker'!$F$2:$F$255,$A20,'Parity Tracker'!$E$2:$E$255,"Partial")+COUNTIFS('Parity Tracker'!$F$2:$F$255,$A20,'Parity Tracker'!$E$2:$E$255,"Pending")+COUNTIFS('Parity Tracker'!$F$2:$F$255,$A20,'Parity Tracker'!$E$2:$E$255,"Blocked")</f>
        <v>176</v>
      </c>
      <c r="C20" s="5" t="s">
        <v>30</v>
      </c>
    </row>
    <row r="22" customFormat="false" ht="15" hidden="false" customHeight="true" outlineLevel="0" collapsed="false">
      <c r="A22" s="3" t="s">
        <v>31</v>
      </c>
    </row>
    <row r="23" customFormat="false" ht="15" hidden="false" customHeight="true" outlineLevel="0" collapsed="false">
      <c r="A23" s="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52"/>
    <col collapsed="false" customWidth="true" hidden="false" outlineLevel="0" max="4" min="4" style="1" width="46"/>
    <col collapsed="false" customWidth="true" hidden="false" outlineLevel="0" max="5" min="5" style="1" width="13"/>
    <col collapsed="false" customWidth="true" hidden="false" outlineLevel="0" max="6" min="6" style="1" width="9"/>
    <col collapsed="false" customWidth="true" hidden="false" outlineLevel="0" max="7" min="7" style="1" width="8"/>
    <col collapsed="false" customWidth="true" hidden="false" outlineLevel="0" max="8" min="8" style="1" width="11"/>
    <col collapsed="false" customWidth="true" hidden="false" outlineLevel="0" max="9" min="9" style="1" width="26"/>
    <col collapsed="false" customWidth="true" hidden="false" outlineLevel="0" max="10" min="10" style="1" width="60"/>
    <col collapsed="false" customWidth="true" hidden="false" outlineLevel="0" max="11" min="11" style="1" width="12"/>
  </cols>
  <sheetData>
    <row r="1" customFormat="false" ht="23.25" hidden="false" customHeight="true" outlineLevel="0" collapsed="false">
      <c r="A1" s="13" t="s">
        <v>33</v>
      </c>
      <c r="B1" s="13" t="s">
        <v>2</v>
      </c>
      <c r="C1" s="13" t="s">
        <v>34</v>
      </c>
      <c r="D1" s="13" t="s">
        <v>35</v>
      </c>
      <c r="E1" s="13" t="s">
        <v>36</v>
      </c>
      <c r="F1" s="13" t="s">
        <v>20</v>
      </c>
      <c r="G1" s="13" t="s">
        <v>37</v>
      </c>
      <c r="H1" s="13" t="s">
        <v>38</v>
      </c>
      <c r="I1" s="13" t="s">
        <v>39</v>
      </c>
      <c r="J1" s="13" t="s">
        <v>40</v>
      </c>
      <c r="K1" s="13" t="s">
        <v>41</v>
      </c>
    </row>
    <row r="2" customFormat="false" ht="15" hidden="false" customHeight="true" outlineLevel="0" collapsed="false">
      <c r="A2" s="14" t="s">
        <v>42</v>
      </c>
      <c r="B2" s="14" t="s">
        <v>10</v>
      </c>
      <c r="C2" s="14" t="s">
        <v>43</v>
      </c>
      <c r="D2" s="14" t="s">
        <v>44</v>
      </c>
      <c r="E2" s="14" t="s">
        <v>5</v>
      </c>
      <c r="F2" s="14" t="s">
        <v>29</v>
      </c>
      <c r="G2" s="14" t="s">
        <v>45</v>
      </c>
      <c r="H2" s="14"/>
      <c r="I2" s="14" t="s">
        <v>46</v>
      </c>
      <c r="J2" s="14"/>
      <c r="K2" s="14" t="s">
        <v>47</v>
      </c>
    </row>
    <row r="3" customFormat="false" ht="15" hidden="false" customHeight="true" outlineLevel="0" collapsed="false">
      <c r="A3" s="14" t="s">
        <v>48</v>
      </c>
      <c r="B3" s="14" t="s">
        <v>10</v>
      </c>
      <c r="C3" s="14" t="s">
        <v>49</v>
      </c>
      <c r="D3" s="14" t="s">
        <v>50</v>
      </c>
      <c r="E3" s="14" t="s">
        <v>4</v>
      </c>
      <c r="F3" s="14" t="s">
        <v>27</v>
      </c>
      <c r="G3" s="14" t="s">
        <v>45</v>
      </c>
      <c r="H3" s="14"/>
      <c r="I3" s="14" t="s">
        <v>51</v>
      </c>
      <c r="J3" s="14" t="s">
        <v>52</v>
      </c>
      <c r="K3" s="14" t="s">
        <v>47</v>
      </c>
    </row>
    <row r="4" customFormat="false" ht="15" hidden="false" customHeight="true" outlineLevel="0" collapsed="false">
      <c r="A4" s="14" t="s">
        <v>53</v>
      </c>
      <c r="B4" s="14" t="s">
        <v>10</v>
      </c>
      <c r="C4" s="14" t="s">
        <v>54</v>
      </c>
      <c r="D4" s="14" t="s">
        <v>55</v>
      </c>
      <c r="E4" s="14" t="s">
        <v>3</v>
      </c>
      <c r="F4" s="14" t="s">
        <v>27</v>
      </c>
      <c r="G4" s="14" t="s">
        <v>45</v>
      </c>
      <c r="H4" s="14"/>
      <c r="I4" s="14" t="s">
        <v>56</v>
      </c>
      <c r="J4" s="14" t="s">
        <v>57</v>
      </c>
      <c r="K4" s="14" t="s">
        <v>47</v>
      </c>
    </row>
    <row r="5" customFormat="false" ht="15" hidden="false" customHeight="true" outlineLevel="0" collapsed="false">
      <c r="A5" s="14" t="s">
        <v>58</v>
      </c>
      <c r="B5" s="14" t="s">
        <v>10</v>
      </c>
      <c r="C5" s="14" t="s">
        <v>59</v>
      </c>
      <c r="D5" s="14" t="s">
        <v>60</v>
      </c>
      <c r="E5" s="14" t="s">
        <v>3</v>
      </c>
      <c r="F5" s="14" t="s">
        <v>27</v>
      </c>
      <c r="G5" s="14" t="s">
        <v>61</v>
      </c>
      <c r="H5" s="14"/>
      <c r="I5" s="14" t="s">
        <v>62</v>
      </c>
      <c r="J5" s="14" t="s">
        <v>63</v>
      </c>
      <c r="K5" s="14" t="s">
        <v>47</v>
      </c>
    </row>
    <row r="6" customFormat="false" ht="15" hidden="false" customHeight="true" outlineLevel="0" collapsed="false">
      <c r="A6" s="14" t="s">
        <v>64</v>
      </c>
      <c r="B6" s="14" t="s">
        <v>10</v>
      </c>
      <c r="C6" s="14" t="s">
        <v>65</v>
      </c>
      <c r="D6" s="14" t="s">
        <v>66</v>
      </c>
      <c r="E6" s="14" t="s">
        <v>3</v>
      </c>
      <c r="F6" s="14" t="s">
        <v>27</v>
      </c>
      <c r="G6" s="14" t="s">
        <v>45</v>
      </c>
      <c r="H6" s="14"/>
      <c r="I6" s="14" t="s">
        <v>67</v>
      </c>
      <c r="J6" s="14" t="s">
        <v>68</v>
      </c>
      <c r="K6" s="14" t="s">
        <v>47</v>
      </c>
    </row>
    <row r="7" customFormat="false" ht="15" hidden="false" customHeight="true" outlineLevel="0" collapsed="false">
      <c r="A7" s="14" t="s">
        <v>69</v>
      </c>
      <c r="B7" s="14" t="s">
        <v>10</v>
      </c>
      <c r="C7" s="14" t="s">
        <v>70</v>
      </c>
      <c r="D7" s="14" t="s">
        <v>71</v>
      </c>
      <c r="E7" s="14" t="s">
        <v>3</v>
      </c>
      <c r="F7" s="14" t="s">
        <v>25</v>
      </c>
      <c r="G7" s="14" t="s">
        <v>45</v>
      </c>
      <c r="H7" s="14" t="n">
        <v>7</v>
      </c>
      <c r="I7" s="14" t="s">
        <v>72</v>
      </c>
      <c r="J7" s="14" t="s">
        <v>73</v>
      </c>
      <c r="K7" s="14" t="s">
        <v>47</v>
      </c>
    </row>
    <row r="8" customFormat="false" ht="15" hidden="false" customHeight="true" outlineLevel="0" collapsed="false">
      <c r="A8" s="14" t="s">
        <v>74</v>
      </c>
      <c r="B8" s="14" t="s">
        <v>10</v>
      </c>
      <c r="C8" s="14" t="s">
        <v>75</v>
      </c>
      <c r="D8" s="14" t="s">
        <v>76</v>
      </c>
      <c r="E8" s="14" t="s">
        <v>3</v>
      </c>
      <c r="F8" s="14" t="s">
        <v>27</v>
      </c>
      <c r="G8" s="14" t="s">
        <v>61</v>
      </c>
      <c r="H8" s="14"/>
      <c r="I8" s="14" t="s">
        <v>77</v>
      </c>
      <c r="J8" s="14"/>
      <c r="K8" s="14" t="s">
        <v>47</v>
      </c>
    </row>
    <row r="9" customFormat="false" ht="15" hidden="false" customHeight="true" outlineLevel="0" collapsed="false">
      <c r="A9" s="14" t="s">
        <v>78</v>
      </c>
      <c r="B9" s="14" t="s">
        <v>10</v>
      </c>
      <c r="C9" s="14" t="s">
        <v>79</v>
      </c>
      <c r="D9" s="14" t="s">
        <v>80</v>
      </c>
      <c r="E9" s="14" t="s">
        <v>3</v>
      </c>
      <c r="F9" s="14" t="s">
        <v>27</v>
      </c>
      <c r="G9" s="14" t="s">
        <v>45</v>
      </c>
      <c r="H9" s="14"/>
      <c r="I9" s="14" t="s">
        <v>81</v>
      </c>
      <c r="J9" s="14"/>
      <c r="K9" s="14" t="s">
        <v>47</v>
      </c>
    </row>
    <row r="10" customFormat="false" ht="15" hidden="false" customHeight="true" outlineLevel="0" collapsed="false">
      <c r="A10" s="14" t="s">
        <v>82</v>
      </c>
      <c r="B10" s="14" t="s">
        <v>10</v>
      </c>
      <c r="C10" s="14" t="s">
        <v>83</v>
      </c>
      <c r="D10" s="14" t="s">
        <v>84</v>
      </c>
      <c r="E10" s="14" t="s">
        <v>3</v>
      </c>
      <c r="F10" s="14" t="s">
        <v>25</v>
      </c>
      <c r="G10" s="14" t="s">
        <v>45</v>
      </c>
      <c r="H10" s="14" t="n">
        <v>9</v>
      </c>
      <c r="I10" s="14" t="s">
        <v>85</v>
      </c>
      <c r="J10" s="14" t="s">
        <v>86</v>
      </c>
      <c r="K10" s="14" t="s">
        <v>47</v>
      </c>
    </row>
    <row r="11" customFormat="false" ht="15" hidden="false" customHeight="true" outlineLevel="0" collapsed="false">
      <c r="A11" s="14" t="s">
        <v>87</v>
      </c>
      <c r="B11" s="14" t="s">
        <v>10</v>
      </c>
      <c r="C11" s="14" t="s">
        <v>88</v>
      </c>
      <c r="D11" s="14" t="s">
        <v>89</v>
      </c>
      <c r="E11" s="14" t="s">
        <v>4</v>
      </c>
      <c r="F11" s="14" t="s">
        <v>25</v>
      </c>
      <c r="G11" s="14" t="s">
        <v>90</v>
      </c>
      <c r="H11" s="14" t="n">
        <v>11</v>
      </c>
      <c r="I11" s="14" t="s">
        <v>91</v>
      </c>
      <c r="J11" s="14" t="s">
        <v>92</v>
      </c>
      <c r="K11" s="14" t="s">
        <v>47</v>
      </c>
    </row>
    <row r="12" customFormat="false" ht="15" hidden="false" customHeight="true" outlineLevel="0" collapsed="false">
      <c r="A12" s="14" t="s">
        <v>93</v>
      </c>
      <c r="B12" s="14" t="s">
        <v>10</v>
      </c>
      <c r="C12" s="14" t="s">
        <v>94</v>
      </c>
      <c r="D12" s="14" t="s">
        <v>95</v>
      </c>
      <c r="E12" s="14" t="s">
        <v>7</v>
      </c>
      <c r="F12" s="14" t="s">
        <v>29</v>
      </c>
      <c r="G12" s="14" t="s">
        <v>61</v>
      </c>
      <c r="H12" s="14"/>
      <c r="I12" s="14"/>
      <c r="J12" s="14" t="s">
        <v>96</v>
      </c>
      <c r="K12" s="14" t="s">
        <v>47</v>
      </c>
    </row>
    <row r="13" customFormat="false" ht="15" hidden="false" customHeight="true" outlineLevel="0" collapsed="false">
      <c r="A13" s="14" t="s">
        <v>97</v>
      </c>
      <c r="B13" s="14" t="s">
        <v>10</v>
      </c>
      <c r="C13" s="14" t="s">
        <v>98</v>
      </c>
      <c r="D13" s="14" t="s">
        <v>99</v>
      </c>
      <c r="E13" s="14" t="s">
        <v>3</v>
      </c>
      <c r="F13" s="14" t="s">
        <v>27</v>
      </c>
      <c r="G13" s="14" t="s">
        <v>45</v>
      </c>
      <c r="H13" s="14"/>
      <c r="I13" s="14" t="s">
        <v>100</v>
      </c>
      <c r="J13" s="14" t="s">
        <v>101</v>
      </c>
      <c r="K13" s="14" t="s">
        <v>47</v>
      </c>
    </row>
    <row r="14" customFormat="false" ht="15" hidden="false" customHeight="true" outlineLevel="0" collapsed="false">
      <c r="A14" s="14" t="s">
        <v>102</v>
      </c>
      <c r="B14" s="14" t="s">
        <v>10</v>
      </c>
      <c r="C14" s="14" t="s">
        <v>103</v>
      </c>
      <c r="D14" s="14" t="s">
        <v>104</v>
      </c>
      <c r="E14" s="14" t="s">
        <v>3</v>
      </c>
      <c r="F14" s="14" t="s">
        <v>25</v>
      </c>
      <c r="G14" s="14" t="s">
        <v>45</v>
      </c>
      <c r="H14" s="14" t="n">
        <v>10</v>
      </c>
      <c r="I14" s="14" t="s">
        <v>105</v>
      </c>
      <c r="J14" s="14" t="s">
        <v>106</v>
      </c>
      <c r="K14" s="14" t="s">
        <v>47</v>
      </c>
    </row>
    <row r="15" customFormat="false" ht="15" hidden="false" customHeight="true" outlineLevel="0" collapsed="false">
      <c r="A15" s="14" t="s">
        <v>107</v>
      </c>
      <c r="B15" s="14" t="s">
        <v>10</v>
      </c>
      <c r="C15" s="14" t="s">
        <v>108</v>
      </c>
      <c r="D15" s="14" t="s">
        <v>109</v>
      </c>
      <c r="E15" s="14" t="s">
        <v>3</v>
      </c>
      <c r="F15" s="14" t="s">
        <v>25</v>
      </c>
      <c r="G15" s="14" t="s">
        <v>45</v>
      </c>
      <c r="H15" s="14" t="n">
        <v>8</v>
      </c>
      <c r="I15" s="14" t="s">
        <v>110</v>
      </c>
      <c r="J15" s="14" t="s">
        <v>111</v>
      </c>
      <c r="K15" s="14" t="s">
        <v>47</v>
      </c>
    </row>
    <row r="16" customFormat="false" ht="15" hidden="false" customHeight="true" outlineLevel="0" collapsed="false">
      <c r="A16" s="14" t="s">
        <v>112</v>
      </c>
      <c r="B16" s="14" t="s">
        <v>10</v>
      </c>
      <c r="C16" s="14" t="s">
        <v>113</v>
      </c>
      <c r="D16" s="14" t="s">
        <v>114</v>
      </c>
      <c r="E16" s="14" t="s">
        <v>4</v>
      </c>
      <c r="F16" s="14" t="s">
        <v>27</v>
      </c>
      <c r="G16" s="14" t="s">
        <v>45</v>
      </c>
      <c r="H16" s="14"/>
      <c r="I16" s="14" t="s">
        <v>115</v>
      </c>
      <c r="J16" s="14" t="s">
        <v>116</v>
      </c>
      <c r="K16" s="14" t="s">
        <v>47</v>
      </c>
    </row>
    <row r="17" customFormat="false" ht="15" hidden="false" customHeight="true" outlineLevel="0" collapsed="false">
      <c r="A17" s="14" t="s">
        <v>117</v>
      </c>
      <c r="B17" s="14" t="s">
        <v>10</v>
      </c>
      <c r="C17" s="14" t="s">
        <v>118</v>
      </c>
      <c r="D17" s="14" t="s">
        <v>119</v>
      </c>
      <c r="E17" s="14" t="s">
        <v>3</v>
      </c>
      <c r="F17" s="14" t="s">
        <v>27</v>
      </c>
      <c r="G17" s="14" t="s">
        <v>45</v>
      </c>
      <c r="H17" s="14"/>
      <c r="I17" s="14" t="s">
        <v>120</v>
      </c>
      <c r="J17" s="14" t="s">
        <v>121</v>
      </c>
      <c r="K17" s="14" t="s">
        <v>47</v>
      </c>
    </row>
    <row r="18" customFormat="false" ht="15" hidden="false" customHeight="true" outlineLevel="0" collapsed="false">
      <c r="A18" s="14" t="s">
        <v>122</v>
      </c>
      <c r="B18" s="14" t="s">
        <v>10</v>
      </c>
      <c r="C18" s="14" t="s">
        <v>123</v>
      </c>
      <c r="D18" s="14" t="s">
        <v>124</v>
      </c>
      <c r="E18" s="14" t="s">
        <v>3</v>
      </c>
      <c r="F18" s="14" t="s">
        <v>27</v>
      </c>
      <c r="G18" s="14" t="s">
        <v>61</v>
      </c>
      <c r="H18" s="14"/>
      <c r="I18" s="14" t="s">
        <v>125</v>
      </c>
      <c r="J18" s="14" t="s">
        <v>126</v>
      </c>
      <c r="K18" s="14" t="s">
        <v>47</v>
      </c>
    </row>
    <row r="19" customFormat="false" ht="15" hidden="false" customHeight="true" outlineLevel="0" collapsed="false">
      <c r="A19" s="14" t="s">
        <v>127</v>
      </c>
      <c r="B19" s="14" t="s">
        <v>10</v>
      </c>
      <c r="C19" s="14" t="s">
        <v>128</v>
      </c>
      <c r="D19" s="14" t="s">
        <v>129</v>
      </c>
      <c r="E19" s="14" t="s">
        <v>5</v>
      </c>
      <c r="F19" s="14" t="s">
        <v>27</v>
      </c>
      <c r="G19" s="14" t="s">
        <v>45</v>
      </c>
      <c r="H19" s="14"/>
      <c r="I19" s="14" t="s">
        <v>130</v>
      </c>
      <c r="J19" s="14"/>
      <c r="K19" s="14" t="s">
        <v>47</v>
      </c>
    </row>
    <row r="20" customFormat="false" ht="15" hidden="false" customHeight="true" outlineLevel="0" collapsed="false">
      <c r="A20" s="14" t="s">
        <v>131</v>
      </c>
      <c r="B20" s="14" t="s">
        <v>10</v>
      </c>
      <c r="C20" s="14" t="s">
        <v>132</v>
      </c>
      <c r="D20" s="14" t="s">
        <v>133</v>
      </c>
      <c r="E20" s="14" t="s">
        <v>5</v>
      </c>
      <c r="F20" s="14" t="s">
        <v>27</v>
      </c>
      <c r="G20" s="14" t="s">
        <v>90</v>
      </c>
      <c r="H20" s="14"/>
      <c r="I20" s="14" t="s">
        <v>134</v>
      </c>
      <c r="J20" s="14"/>
      <c r="K20" s="14" t="s">
        <v>47</v>
      </c>
    </row>
    <row r="21" customFormat="false" ht="15" hidden="false" customHeight="true" outlineLevel="0" collapsed="false">
      <c r="A21" s="14" t="s">
        <v>135</v>
      </c>
      <c r="B21" s="14" t="s">
        <v>10</v>
      </c>
      <c r="C21" s="14" t="s">
        <v>136</v>
      </c>
      <c r="D21" s="14" t="s">
        <v>137</v>
      </c>
      <c r="E21" s="14" t="s">
        <v>3</v>
      </c>
      <c r="F21" s="14" t="s">
        <v>27</v>
      </c>
      <c r="G21" s="14" t="s">
        <v>45</v>
      </c>
      <c r="H21" s="14"/>
      <c r="I21" s="14" t="s">
        <v>138</v>
      </c>
      <c r="J21" s="14"/>
      <c r="K21" s="14" t="s">
        <v>47</v>
      </c>
    </row>
    <row r="22" customFormat="false" ht="15" hidden="false" customHeight="true" outlineLevel="0" collapsed="false">
      <c r="A22" s="14" t="s">
        <v>139</v>
      </c>
      <c r="B22" s="14" t="s">
        <v>10</v>
      </c>
      <c r="C22" s="14" t="s">
        <v>140</v>
      </c>
      <c r="D22" s="14" t="s">
        <v>141</v>
      </c>
      <c r="E22" s="14" t="s">
        <v>3</v>
      </c>
      <c r="F22" s="14" t="s">
        <v>27</v>
      </c>
      <c r="G22" s="14" t="s">
        <v>45</v>
      </c>
      <c r="H22" s="14"/>
      <c r="I22" s="14" t="s">
        <v>142</v>
      </c>
      <c r="J22" s="14"/>
      <c r="K22" s="14" t="s">
        <v>47</v>
      </c>
    </row>
    <row r="23" customFormat="false" ht="15" hidden="false" customHeight="true" outlineLevel="0" collapsed="false">
      <c r="A23" s="14" t="s">
        <v>143</v>
      </c>
      <c r="B23" s="14" t="s">
        <v>10</v>
      </c>
      <c r="C23" s="14" t="s">
        <v>144</v>
      </c>
      <c r="D23" s="14" t="s">
        <v>145</v>
      </c>
      <c r="E23" s="14" t="s">
        <v>3</v>
      </c>
      <c r="F23" s="14" t="s">
        <v>27</v>
      </c>
      <c r="G23" s="14" t="s">
        <v>61</v>
      </c>
      <c r="H23" s="14"/>
      <c r="I23" s="14" t="s">
        <v>146</v>
      </c>
      <c r="J23" s="14" t="s">
        <v>147</v>
      </c>
      <c r="K23" s="14" t="s">
        <v>47</v>
      </c>
    </row>
    <row r="24" customFormat="false" ht="15" hidden="false" customHeight="true" outlineLevel="0" collapsed="false">
      <c r="A24" s="14" t="s">
        <v>148</v>
      </c>
      <c r="B24" s="14" t="s">
        <v>10</v>
      </c>
      <c r="C24" s="14" t="s">
        <v>149</v>
      </c>
      <c r="D24" s="14" t="s">
        <v>150</v>
      </c>
      <c r="E24" s="14" t="s">
        <v>3</v>
      </c>
      <c r="F24" s="14" t="s">
        <v>27</v>
      </c>
      <c r="G24" s="14" t="s">
        <v>45</v>
      </c>
      <c r="H24" s="14"/>
      <c r="I24" s="14" t="s">
        <v>151</v>
      </c>
      <c r="J24" s="14" t="s">
        <v>152</v>
      </c>
      <c r="K24" s="14" t="s">
        <v>47</v>
      </c>
    </row>
    <row r="25" customFormat="false" ht="15" hidden="false" customHeight="true" outlineLevel="0" collapsed="false">
      <c r="A25" s="14" t="s">
        <v>153</v>
      </c>
      <c r="B25" s="14" t="s">
        <v>10</v>
      </c>
      <c r="C25" s="14" t="s">
        <v>154</v>
      </c>
      <c r="D25" s="14" t="s">
        <v>155</v>
      </c>
      <c r="E25" s="14" t="s">
        <v>3</v>
      </c>
      <c r="F25" s="14" t="s">
        <v>27</v>
      </c>
      <c r="G25" s="14" t="s">
        <v>45</v>
      </c>
      <c r="H25" s="14"/>
      <c r="I25" s="14" t="s">
        <v>156</v>
      </c>
      <c r="J25" s="14"/>
      <c r="K25" s="14" t="s">
        <v>47</v>
      </c>
    </row>
    <row r="26" customFormat="false" ht="15" hidden="false" customHeight="true" outlineLevel="0" collapsed="false">
      <c r="A26" s="14" t="s">
        <v>157</v>
      </c>
      <c r="B26" s="14" t="s">
        <v>10</v>
      </c>
      <c r="C26" s="14" t="s">
        <v>158</v>
      </c>
      <c r="D26" s="14" t="s">
        <v>159</v>
      </c>
      <c r="E26" s="14" t="s">
        <v>5</v>
      </c>
      <c r="F26" s="14" t="s">
        <v>29</v>
      </c>
      <c r="G26" s="14" t="s">
        <v>45</v>
      </c>
      <c r="H26" s="14"/>
      <c r="I26" s="14" t="s">
        <v>160</v>
      </c>
      <c r="J26" s="14"/>
      <c r="K26" s="14" t="s">
        <v>47</v>
      </c>
    </row>
    <row r="27" customFormat="false" ht="15" hidden="false" customHeight="true" outlineLevel="0" collapsed="false">
      <c r="A27" s="14" t="s">
        <v>161</v>
      </c>
      <c r="B27" s="14" t="s">
        <v>10</v>
      </c>
      <c r="C27" s="14" t="s">
        <v>162</v>
      </c>
      <c r="D27" s="14" t="s">
        <v>163</v>
      </c>
      <c r="E27" s="14" t="s">
        <v>3</v>
      </c>
      <c r="F27" s="14" t="s">
        <v>25</v>
      </c>
      <c r="G27" s="14" t="s">
        <v>90</v>
      </c>
      <c r="H27" s="14" t="n">
        <v>3</v>
      </c>
      <c r="I27" s="14" t="s">
        <v>164</v>
      </c>
      <c r="J27" s="14" t="s">
        <v>165</v>
      </c>
      <c r="K27" s="14" t="s">
        <v>47</v>
      </c>
    </row>
    <row r="28" customFormat="false" ht="15" hidden="false" customHeight="true" outlineLevel="0" collapsed="false">
      <c r="A28" s="14" t="s">
        <v>166</v>
      </c>
      <c r="B28" s="14" t="s">
        <v>10</v>
      </c>
      <c r="C28" s="14" t="s">
        <v>167</v>
      </c>
      <c r="D28" s="14" t="s">
        <v>168</v>
      </c>
      <c r="E28" s="14" t="s">
        <v>3</v>
      </c>
      <c r="F28" s="14" t="s">
        <v>25</v>
      </c>
      <c r="G28" s="14" t="s">
        <v>45</v>
      </c>
      <c r="H28" s="14" t="n">
        <v>5</v>
      </c>
      <c r="I28" s="14" t="s">
        <v>169</v>
      </c>
      <c r="J28" s="14" t="s">
        <v>170</v>
      </c>
      <c r="K28" s="14" t="s">
        <v>47</v>
      </c>
    </row>
    <row r="29" customFormat="false" ht="15" hidden="false" customHeight="true" outlineLevel="0" collapsed="false">
      <c r="A29" s="14" t="s">
        <v>171</v>
      </c>
      <c r="B29" s="14" t="s">
        <v>10</v>
      </c>
      <c r="C29" s="14" t="s">
        <v>172</v>
      </c>
      <c r="D29" s="14" t="s">
        <v>173</v>
      </c>
      <c r="E29" s="14" t="s">
        <v>3</v>
      </c>
      <c r="F29" s="14" t="s">
        <v>25</v>
      </c>
      <c r="G29" s="14" t="s">
        <v>61</v>
      </c>
      <c r="H29" s="14" t="n">
        <v>6</v>
      </c>
      <c r="I29" s="14" t="s">
        <v>174</v>
      </c>
      <c r="J29" s="14" t="s">
        <v>175</v>
      </c>
      <c r="K29" s="14" t="s">
        <v>47</v>
      </c>
    </row>
    <row r="30" customFormat="false" ht="15" hidden="false" customHeight="true" outlineLevel="0" collapsed="false">
      <c r="A30" s="14" t="s">
        <v>176</v>
      </c>
      <c r="B30" s="14" t="s">
        <v>10</v>
      </c>
      <c r="C30" s="14" t="s">
        <v>177</v>
      </c>
      <c r="D30" s="14" t="s">
        <v>178</v>
      </c>
      <c r="E30" s="14" t="s">
        <v>5</v>
      </c>
      <c r="F30" s="14" t="s">
        <v>27</v>
      </c>
      <c r="G30" s="14" t="s">
        <v>45</v>
      </c>
      <c r="H30" s="14"/>
      <c r="I30" s="14" t="s">
        <v>179</v>
      </c>
      <c r="J30" s="14" t="s">
        <v>180</v>
      </c>
      <c r="K30" s="14" t="s">
        <v>47</v>
      </c>
    </row>
    <row r="31" customFormat="false" ht="15" hidden="false" customHeight="true" outlineLevel="0" collapsed="false">
      <c r="A31" s="14" t="s">
        <v>181</v>
      </c>
      <c r="B31" s="14" t="s">
        <v>10</v>
      </c>
      <c r="C31" s="14" t="s">
        <v>182</v>
      </c>
      <c r="D31" s="14" t="s">
        <v>183</v>
      </c>
      <c r="E31" s="14" t="s">
        <v>3</v>
      </c>
      <c r="F31" s="14" t="s">
        <v>27</v>
      </c>
      <c r="G31" s="14" t="s">
        <v>61</v>
      </c>
      <c r="H31" s="14"/>
      <c r="I31" s="14" t="s">
        <v>184</v>
      </c>
      <c r="J31" s="14" t="s">
        <v>185</v>
      </c>
      <c r="K31" s="14" t="s">
        <v>47</v>
      </c>
    </row>
    <row r="32" customFormat="false" ht="15" hidden="false" customHeight="true" outlineLevel="0" collapsed="false">
      <c r="A32" s="14" t="s">
        <v>186</v>
      </c>
      <c r="B32" s="14" t="s">
        <v>10</v>
      </c>
      <c r="C32" s="14" t="s">
        <v>187</v>
      </c>
      <c r="D32" s="14" t="s">
        <v>188</v>
      </c>
      <c r="E32" s="14" t="s">
        <v>3</v>
      </c>
      <c r="F32" s="14" t="s">
        <v>25</v>
      </c>
      <c r="G32" s="14" t="s">
        <v>90</v>
      </c>
      <c r="H32" s="14" t="n">
        <v>4</v>
      </c>
      <c r="I32" s="14" t="s">
        <v>189</v>
      </c>
      <c r="J32" s="14" t="s">
        <v>190</v>
      </c>
      <c r="K32" s="14" t="s">
        <v>47</v>
      </c>
    </row>
    <row r="33" customFormat="false" ht="15" hidden="false" customHeight="true" outlineLevel="0" collapsed="false">
      <c r="A33" s="14" t="s">
        <v>191</v>
      </c>
      <c r="B33" s="14" t="s">
        <v>10</v>
      </c>
      <c r="C33" s="14" t="s">
        <v>192</v>
      </c>
      <c r="D33" s="14" t="s">
        <v>193</v>
      </c>
      <c r="E33" s="14" t="s">
        <v>3</v>
      </c>
      <c r="F33" s="14" t="s">
        <v>25</v>
      </c>
      <c r="G33" s="14" t="s">
        <v>90</v>
      </c>
      <c r="H33" s="14"/>
      <c r="I33" s="14" t="s">
        <v>194</v>
      </c>
      <c r="J33" s="14" t="s">
        <v>195</v>
      </c>
      <c r="K33" s="14" t="s">
        <v>47</v>
      </c>
    </row>
    <row r="34" customFormat="false" ht="15" hidden="false" customHeight="true" outlineLevel="0" collapsed="false">
      <c r="A34" s="14" t="s">
        <v>196</v>
      </c>
      <c r="B34" s="14" t="s">
        <v>10</v>
      </c>
      <c r="C34" s="14" t="s">
        <v>197</v>
      </c>
      <c r="D34" s="14" t="s">
        <v>198</v>
      </c>
      <c r="E34" s="14" t="s">
        <v>3</v>
      </c>
      <c r="F34" s="14" t="s">
        <v>25</v>
      </c>
      <c r="G34" s="14" t="s">
        <v>45</v>
      </c>
      <c r="H34" s="14" t="n">
        <v>12</v>
      </c>
      <c r="I34" s="14" t="s">
        <v>199</v>
      </c>
      <c r="J34" s="14" t="s">
        <v>200</v>
      </c>
      <c r="K34" s="14" t="s">
        <v>47</v>
      </c>
    </row>
    <row r="35" customFormat="false" ht="15" hidden="false" customHeight="true" outlineLevel="0" collapsed="false">
      <c r="A35" s="14" t="s">
        <v>201</v>
      </c>
      <c r="B35" s="14" t="s">
        <v>10</v>
      </c>
      <c r="C35" s="14" t="s">
        <v>202</v>
      </c>
      <c r="D35" s="14" t="s">
        <v>203</v>
      </c>
      <c r="E35" s="14" t="s">
        <v>3</v>
      </c>
      <c r="F35" s="14" t="s">
        <v>25</v>
      </c>
      <c r="G35" s="14" t="s">
        <v>45</v>
      </c>
      <c r="H35" s="14"/>
      <c r="I35" s="14" t="s">
        <v>204</v>
      </c>
      <c r="J35" s="14"/>
      <c r="K35" s="14" t="s">
        <v>47</v>
      </c>
    </row>
    <row r="36" customFormat="false" ht="15" hidden="false" customHeight="true" outlineLevel="0" collapsed="false">
      <c r="A36" s="14" t="s">
        <v>205</v>
      </c>
      <c r="B36" s="14" t="s">
        <v>10</v>
      </c>
      <c r="C36" s="14" t="s">
        <v>206</v>
      </c>
      <c r="D36" s="14" t="s">
        <v>207</v>
      </c>
      <c r="E36" s="14" t="s">
        <v>3</v>
      </c>
      <c r="F36" s="14" t="s">
        <v>25</v>
      </c>
      <c r="G36" s="14" t="s">
        <v>90</v>
      </c>
      <c r="H36" s="14"/>
      <c r="I36" s="14" t="s">
        <v>208</v>
      </c>
      <c r="J36" s="14" t="s">
        <v>209</v>
      </c>
      <c r="K36" s="14" t="s">
        <v>47</v>
      </c>
    </row>
    <row r="37" customFormat="false" ht="15" hidden="false" customHeight="true" outlineLevel="0" collapsed="false">
      <c r="A37" s="14" t="s">
        <v>210</v>
      </c>
      <c r="B37" s="14" t="s">
        <v>10</v>
      </c>
      <c r="C37" s="14" t="s">
        <v>211</v>
      </c>
      <c r="D37" s="14" t="s">
        <v>212</v>
      </c>
      <c r="E37" s="14" t="s">
        <v>3</v>
      </c>
      <c r="F37" s="14" t="s">
        <v>25</v>
      </c>
      <c r="G37" s="14" t="s">
        <v>45</v>
      </c>
      <c r="H37" s="14"/>
      <c r="I37" s="14" t="s">
        <v>213</v>
      </c>
      <c r="J37" s="14"/>
      <c r="K37" s="14" t="s">
        <v>47</v>
      </c>
    </row>
    <row r="38" customFormat="false" ht="15" hidden="false" customHeight="true" outlineLevel="0" collapsed="false">
      <c r="A38" s="14" t="s">
        <v>214</v>
      </c>
      <c r="B38" s="14" t="s">
        <v>10</v>
      </c>
      <c r="C38" s="14" t="s">
        <v>215</v>
      </c>
      <c r="D38" s="14" t="s">
        <v>216</v>
      </c>
      <c r="E38" s="14" t="s">
        <v>5</v>
      </c>
      <c r="F38" s="14" t="s">
        <v>29</v>
      </c>
      <c r="G38" s="14" t="s">
        <v>45</v>
      </c>
      <c r="H38" s="14"/>
      <c r="I38" s="14" t="s">
        <v>217</v>
      </c>
      <c r="J38" s="14"/>
      <c r="K38" s="14" t="s">
        <v>47</v>
      </c>
    </row>
    <row r="39" customFormat="false" ht="15" hidden="false" customHeight="true" outlineLevel="0" collapsed="false">
      <c r="A39" s="14" t="s">
        <v>218</v>
      </c>
      <c r="B39" s="14" t="s">
        <v>10</v>
      </c>
      <c r="C39" s="14" t="s">
        <v>219</v>
      </c>
      <c r="D39" s="14" t="s">
        <v>220</v>
      </c>
      <c r="E39" s="14" t="s">
        <v>5</v>
      </c>
      <c r="F39" s="14" t="s">
        <v>29</v>
      </c>
      <c r="G39" s="14" t="s">
        <v>90</v>
      </c>
      <c r="H39" s="14"/>
      <c r="I39" s="14" t="s">
        <v>221</v>
      </c>
      <c r="J39" s="14" t="s">
        <v>222</v>
      </c>
      <c r="K39" s="14" t="s">
        <v>47</v>
      </c>
    </row>
    <row r="40" customFormat="false" ht="15" hidden="false" customHeight="true" outlineLevel="0" collapsed="false">
      <c r="A40" s="14" t="s">
        <v>223</v>
      </c>
      <c r="B40" s="14" t="s">
        <v>10</v>
      </c>
      <c r="C40" s="14" t="s">
        <v>224</v>
      </c>
      <c r="D40" s="14" t="s">
        <v>225</v>
      </c>
      <c r="E40" s="14" t="s">
        <v>5</v>
      </c>
      <c r="F40" s="14" t="s">
        <v>29</v>
      </c>
      <c r="G40" s="14" t="s">
        <v>45</v>
      </c>
      <c r="H40" s="14"/>
      <c r="I40" s="14" t="s">
        <v>226</v>
      </c>
      <c r="J40" s="14"/>
      <c r="K40" s="14" t="s">
        <v>47</v>
      </c>
    </row>
    <row r="41" customFormat="false" ht="15" hidden="false" customHeight="true" outlineLevel="0" collapsed="false">
      <c r="A41" s="14" t="s">
        <v>227</v>
      </c>
      <c r="B41" s="14" t="s">
        <v>10</v>
      </c>
      <c r="C41" s="14" t="s">
        <v>228</v>
      </c>
      <c r="D41" s="14" t="s">
        <v>229</v>
      </c>
      <c r="E41" s="14" t="s">
        <v>5</v>
      </c>
      <c r="F41" s="14" t="s">
        <v>29</v>
      </c>
      <c r="G41" s="14" t="s">
        <v>90</v>
      </c>
      <c r="H41" s="14"/>
      <c r="I41" s="14" t="s">
        <v>230</v>
      </c>
      <c r="J41" s="14" t="s">
        <v>231</v>
      </c>
      <c r="K41" s="14" t="s">
        <v>47</v>
      </c>
    </row>
    <row r="42" customFormat="false" ht="15" hidden="false" customHeight="true" outlineLevel="0" collapsed="false">
      <c r="A42" s="14" t="s">
        <v>232</v>
      </c>
      <c r="B42" s="14" t="s">
        <v>11</v>
      </c>
      <c r="C42" s="14" t="s">
        <v>233</v>
      </c>
      <c r="D42" s="14" t="s">
        <v>234</v>
      </c>
      <c r="E42" s="14" t="s">
        <v>5</v>
      </c>
      <c r="F42" s="14" t="s">
        <v>29</v>
      </c>
      <c r="G42" s="14" t="s">
        <v>61</v>
      </c>
      <c r="H42" s="14"/>
      <c r="I42" s="14" t="s">
        <v>235</v>
      </c>
      <c r="J42" s="14" t="s">
        <v>236</v>
      </c>
      <c r="K42" s="14" t="s">
        <v>47</v>
      </c>
    </row>
    <row r="43" customFormat="false" ht="15" hidden="false" customHeight="true" outlineLevel="0" collapsed="false">
      <c r="A43" s="14" t="s">
        <v>237</v>
      </c>
      <c r="B43" s="14" t="s">
        <v>11</v>
      </c>
      <c r="C43" s="14" t="s">
        <v>238</v>
      </c>
      <c r="D43" s="14" t="s">
        <v>239</v>
      </c>
      <c r="E43" s="14" t="s">
        <v>5</v>
      </c>
      <c r="F43" s="14" t="s">
        <v>29</v>
      </c>
      <c r="G43" s="14" t="s">
        <v>61</v>
      </c>
      <c r="H43" s="14"/>
      <c r="I43" s="14" t="s">
        <v>240</v>
      </c>
      <c r="J43" s="14" t="s">
        <v>236</v>
      </c>
      <c r="K43" s="14" t="s">
        <v>47</v>
      </c>
    </row>
    <row r="44" customFormat="false" ht="15" hidden="false" customHeight="true" outlineLevel="0" collapsed="false">
      <c r="A44" s="14" t="s">
        <v>241</v>
      </c>
      <c r="B44" s="14" t="s">
        <v>11</v>
      </c>
      <c r="C44" s="14" t="s">
        <v>242</v>
      </c>
      <c r="D44" s="14" t="s">
        <v>243</v>
      </c>
      <c r="E44" s="14" t="s">
        <v>5</v>
      </c>
      <c r="F44" s="14" t="s">
        <v>29</v>
      </c>
      <c r="G44" s="14" t="s">
        <v>61</v>
      </c>
      <c r="H44" s="14"/>
      <c r="I44" s="14" t="s">
        <v>244</v>
      </c>
      <c r="J44" s="14" t="s">
        <v>236</v>
      </c>
      <c r="K44" s="14" t="s">
        <v>47</v>
      </c>
    </row>
    <row r="45" customFormat="false" ht="15" hidden="false" customHeight="true" outlineLevel="0" collapsed="false">
      <c r="A45" s="14" t="s">
        <v>245</v>
      </c>
      <c r="B45" s="14" t="s">
        <v>11</v>
      </c>
      <c r="C45" s="14" t="s">
        <v>246</v>
      </c>
      <c r="D45" s="14" t="s">
        <v>247</v>
      </c>
      <c r="E45" s="14" t="s">
        <v>5</v>
      </c>
      <c r="F45" s="14" t="s">
        <v>29</v>
      </c>
      <c r="G45" s="14" t="s">
        <v>61</v>
      </c>
      <c r="H45" s="14"/>
      <c r="I45" s="14" t="s">
        <v>248</v>
      </c>
      <c r="J45" s="14" t="s">
        <v>236</v>
      </c>
      <c r="K45" s="14" t="s">
        <v>47</v>
      </c>
    </row>
    <row r="46" customFormat="false" ht="15" hidden="false" customHeight="true" outlineLevel="0" collapsed="false">
      <c r="A46" s="14" t="s">
        <v>249</v>
      </c>
      <c r="B46" s="14" t="s">
        <v>11</v>
      </c>
      <c r="C46" s="14" t="s">
        <v>250</v>
      </c>
      <c r="D46" s="14" t="s">
        <v>251</v>
      </c>
      <c r="E46" s="14" t="s">
        <v>5</v>
      </c>
      <c r="F46" s="14" t="s">
        <v>29</v>
      </c>
      <c r="G46" s="14" t="s">
        <v>61</v>
      </c>
      <c r="H46" s="14"/>
      <c r="I46" s="14" t="s">
        <v>252</v>
      </c>
      <c r="J46" s="14" t="s">
        <v>236</v>
      </c>
      <c r="K46" s="14" t="s">
        <v>47</v>
      </c>
    </row>
    <row r="47" customFormat="false" ht="15" hidden="false" customHeight="true" outlineLevel="0" collapsed="false">
      <c r="A47" s="14" t="s">
        <v>253</v>
      </c>
      <c r="B47" s="14" t="s">
        <v>11</v>
      </c>
      <c r="C47" s="14" t="s">
        <v>254</v>
      </c>
      <c r="D47" s="14" t="s">
        <v>255</v>
      </c>
      <c r="E47" s="14" t="s">
        <v>5</v>
      </c>
      <c r="F47" s="14" t="s">
        <v>29</v>
      </c>
      <c r="G47" s="14" t="s">
        <v>61</v>
      </c>
      <c r="H47" s="14"/>
      <c r="I47" s="14" t="s">
        <v>256</v>
      </c>
      <c r="J47" s="14" t="s">
        <v>236</v>
      </c>
      <c r="K47" s="14" t="s">
        <v>47</v>
      </c>
    </row>
    <row r="48" customFormat="false" ht="15" hidden="false" customHeight="true" outlineLevel="0" collapsed="false">
      <c r="A48" s="14" t="s">
        <v>257</v>
      </c>
      <c r="B48" s="14" t="s">
        <v>11</v>
      </c>
      <c r="C48" s="14" t="s">
        <v>258</v>
      </c>
      <c r="D48" s="14" t="s">
        <v>259</v>
      </c>
      <c r="E48" s="14" t="s">
        <v>5</v>
      </c>
      <c r="F48" s="14" t="s">
        <v>29</v>
      </c>
      <c r="G48" s="14" t="s">
        <v>61</v>
      </c>
      <c r="H48" s="14"/>
      <c r="I48" s="14" t="s">
        <v>260</v>
      </c>
      <c r="J48" s="14" t="s">
        <v>236</v>
      </c>
      <c r="K48" s="14" t="s">
        <v>47</v>
      </c>
    </row>
    <row r="49" customFormat="false" ht="23.25" hidden="false" customHeight="true" outlineLevel="0" collapsed="false">
      <c r="A49" s="14" t="s">
        <v>261</v>
      </c>
      <c r="B49" s="14" t="s">
        <v>11</v>
      </c>
      <c r="C49" s="14" t="s">
        <v>262</v>
      </c>
      <c r="D49" s="14" t="s">
        <v>263</v>
      </c>
      <c r="E49" s="14" t="s">
        <v>5</v>
      </c>
      <c r="F49" s="14" t="s">
        <v>29</v>
      </c>
      <c r="G49" s="14" t="s">
        <v>61</v>
      </c>
      <c r="H49" s="14"/>
      <c r="I49" s="14" t="s">
        <v>264</v>
      </c>
      <c r="J49" s="14" t="s">
        <v>236</v>
      </c>
      <c r="K49" s="14" t="s">
        <v>47</v>
      </c>
    </row>
    <row r="50" customFormat="false" ht="15" hidden="false" customHeight="true" outlineLevel="0" collapsed="false">
      <c r="A50" s="14" t="s">
        <v>265</v>
      </c>
      <c r="B50" s="14" t="s">
        <v>11</v>
      </c>
      <c r="C50" s="14" t="s">
        <v>266</v>
      </c>
      <c r="D50" s="14" t="s">
        <v>267</v>
      </c>
      <c r="E50" s="14" t="s">
        <v>5</v>
      </c>
      <c r="F50" s="14" t="s">
        <v>29</v>
      </c>
      <c r="G50" s="14" t="s">
        <v>61</v>
      </c>
      <c r="H50" s="14"/>
      <c r="I50" s="14" t="s">
        <v>268</v>
      </c>
      <c r="J50" s="14" t="s">
        <v>236</v>
      </c>
      <c r="K50" s="14" t="s">
        <v>47</v>
      </c>
    </row>
    <row r="51" customFormat="false" ht="15" hidden="false" customHeight="true" outlineLevel="0" collapsed="false">
      <c r="A51" s="14" t="s">
        <v>269</v>
      </c>
      <c r="B51" s="14" t="s">
        <v>11</v>
      </c>
      <c r="C51" s="14" t="s">
        <v>270</v>
      </c>
      <c r="D51" s="14" t="s">
        <v>271</v>
      </c>
      <c r="E51" s="14" t="s">
        <v>5</v>
      </c>
      <c r="F51" s="14" t="s">
        <v>29</v>
      </c>
      <c r="G51" s="14" t="s">
        <v>61</v>
      </c>
      <c r="H51" s="14"/>
      <c r="I51" s="14" t="s">
        <v>272</v>
      </c>
      <c r="J51" s="14" t="s">
        <v>236</v>
      </c>
      <c r="K51" s="14" t="s">
        <v>47</v>
      </c>
    </row>
    <row r="52" customFormat="false" ht="23.25" hidden="false" customHeight="true" outlineLevel="0" collapsed="false">
      <c r="A52" s="14" t="s">
        <v>273</v>
      </c>
      <c r="B52" s="14" t="s">
        <v>11</v>
      </c>
      <c r="C52" s="14" t="s">
        <v>274</v>
      </c>
      <c r="D52" s="14" t="s">
        <v>275</v>
      </c>
      <c r="E52" s="14" t="s">
        <v>5</v>
      </c>
      <c r="F52" s="14" t="s">
        <v>29</v>
      </c>
      <c r="G52" s="14" t="s">
        <v>61</v>
      </c>
      <c r="H52" s="14"/>
      <c r="I52" s="14" t="s">
        <v>276</v>
      </c>
      <c r="J52" s="14" t="s">
        <v>236</v>
      </c>
      <c r="K52" s="14" t="s">
        <v>47</v>
      </c>
    </row>
    <row r="53" customFormat="false" ht="23.25" hidden="false" customHeight="true" outlineLevel="0" collapsed="false">
      <c r="A53" s="14" t="s">
        <v>277</v>
      </c>
      <c r="B53" s="14" t="s">
        <v>11</v>
      </c>
      <c r="C53" s="14" t="s">
        <v>278</v>
      </c>
      <c r="D53" s="14" t="s">
        <v>279</v>
      </c>
      <c r="E53" s="14" t="s">
        <v>5</v>
      </c>
      <c r="F53" s="14" t="s">
        <v>29</v>
      </c>
      <c r="G53" s="14" t="s">
        <v>61</v>
      </c>
      <c r="H53" s="14"/>
      <c r="I53" s="14" t="s">
        <v>280</v>
      </c>
      <c r="J53" s="14" t="s">
        <v>236</v>
      </c>
      <c r="K53" s="14" t="s">
        <v>47</v>
      </c>
    </row>
    <row r="54" customFormat="false" ht="15" hidden="false" customHeight="true" outlineLevel="0" collapsed="false">
      <c r="A54" s="14" t="s">
        <v>281</v>
      </c>
      <c r="B54" s="14" t="s">
        <v>11</v>
      </c>
      <c r="C54" s="14" t="s">
        <v>282</v>
      </c>
      <c r="D54" s="14" t="s">
        <v>283</v>
      </c>
      <c r="E54" s="14" t="s">
        <v>5</v>
      </c>
      <c r="F54" s="14" t="s">
        <v>29</v>
      </c>
      <c r="G54" s="14" t="s">
        <v>61</v>
      </c>
      <c r="H54" s="14"/>
      <c r="I54" s="14" t="s">
        <v>284</v>
      </c>
      <c r="J54" s="14" t="s">
        <v>236</v>
      </c>
      <c r="K54" s="14" t="s">
        <v>47</v>
      </c>
    </row>
    <row r="55" customFormat="false" ht="23.25" hidden="false" customHeight="true" outlineLevel="0" collapsed="false">
      <c r="A55" s="14" t="s">
        <v>285</v>
      </c>
      <c r="B55" s="14" t="s">
        <v>11</v>
      </c>
      <c r="C55" s="14" t="s">
        <v>286</v>
      </c>
      <c r="D55" s="14" t="s">
        <v>287</v>
      </c>
      <c r="E55" s="14" t="s">
        <v>5</v>
      </c>
      <c r="F55" s="14" t="s">
        <v>29</v>
      </c>
      <c r="G55" s="14" t="s">
        <v>61</v>
      </c>
      <c r="H55" s="14"/>
      <c r="I55" s="14" t="s">
        <v>288</v>
      </c>
      <c r="J55" s="14" t="s">
        <v>236</v>
      </c>
      <c r="K55" s="14" t="s">
        <v>47</v>
      </c>
    </row>
    <row r="56" customFormat="false" ht="15" hidden="false" customHeight="true" outlineLevel="0" collapsed="false">
      <c r="A56" s="14" t="s">
        <v>289</v>
      </c>
      <c r="B56" s="14" t="s">
        <v>11</v>
      </c>
      <c r="C56" s="14" t="s">
        <v>290</v>
      </c>
      <c r="D56" s="14" t="s">
        <v>291</v>
      </c>
      <c r="E56" s="14" t="s">
        <v>5</v>
      </c>
      <c r="F56" s="14" t="s">
        <v>29</v>
      </c>
      <c r="G56" s="14" t="s">
        <v>61</v>
      </c>
      <c r="H56" s="14"/>
      <c r="I56" s="14" t="s">
        <v>292</v>
      </c>
      <c r="J56" s="14" t="s">
        <v>236</v>
      </c>
      <c r="K56" s="14" t="s">
        <v>47</v>
      </c>
    </row>
    <row r="57" customFormat="false" ht="23.25" hidden="false" customHeight="true" outlineLevel="0" collapsed="false">
      <c r="A57" s="14" t="s">
        <v>293</v>
      </c>
      <c r="B57" s="14" t="s">
        <v>11</v>
      </c>
      <c r="C57" s="14" t="s">
        <v>294</v>
      </c>
      <c r="D57" s="14" t="s">
        <v>295</v>
      </c>
      <c r="E57" s="14" t="s">
        <v>5</v>
      </c>
      <c r="F57" s="14" t="s">
        <v>29</v>
      </c>
      <c r="G57" s="14" t="s">
        <v>61</v>
      </c>
      <c r="H57" s="14"/>
      <c r="I57" s="14" t="s">
        <v>296</v>
      </c>
      <c r="J57" s="14" t="s">
        <v>236</v>
      </c>
      <c r="K57" s="14" t="s">
        <v>47</v>
      </c>
    </row>
    <row r="58" customFormat="false" ht="15" hidden="false" customHeight="true" outlineLevel="0" collapsed="false">
      <c r="A58" s="14" t="s">
        <v>297</v>
      </c>
      <c r="B58" s="14" t="s">
        <v>11</v>
      </c>
      <c r="C58" s="14" t="s">
        <v>298</v>
      </c>
      <c r="D58" s="14" t="s">
        <v>299</v>
      </c>
      <c r="E58" s="14" t="s">
        <v>5</v>
      </c>
      <c r="F58" s="14" t="s">
        <v>29</v>
      </c>
      <c r="G58" s="14" t="s">
        <v>61</v>
      </c>
      <c r="H58" s="14"/>
      <c r="I58" s="14" t="s">
        <v>300</v>
      </c>
      <c r="J58" s="14" t="s">
        <v>236</v>
      </c>
      <c r="K58" s="14" t="s">
        <v>47</v>
      </c>
    </row>
    <row r="59" customFormat="false" ht="15" hidden="false" customHeight="true" outlineLevel="0" collapsed="false">
      <c r="A59" s="14" t="s">
        <v>301</v>
      </c>
      <c r="B59" s="14" t="s">
        <v>11</v>
      </c>
      <c r="C59" s="14" t="s">
        <v>302</v>
      </c>
      <c r="D59" s="14" t="s">
        <v>303</v>
      </c>
      <c r="E59" s="14" t="s">
        <v>5</v>
      </c>
      <c r="F59" s="14" t="s">
        <v>29</v>
      </c>
      <c r="G59" s="14" t="s">
        <v>61</v>
      </c>
      <c r="H59" s="14"/>
      <c r="I59" s="14" t="s">
        <v>304</v>
      </c>
      <c r="J59" s="14" t="s">
        <v>236</v>
      </c>
      <c r="K59" s="14" t="s">
        <v>47</v>
      </c>
    </row>
    <row r="60" customFormat="false" ht="23.25" hidden="false" customHeight="true" outlineLevel="0" collapsed="false">
      <c r="A60" s="14" t="s">
        <v>305</v>
      </c>
      <c r="B60" s="14" t="s">
        <v>11</v>
      </c>
      <c r="C60" s="14" t="s">
        <v>306</v>
      </c>
      <c r="D60" s="14" t="s">
        <v>307</v>
      </c>
      <c r="E60" s="14" t="s">
        <v>5</v>
      </c>
      <c r="F60" s="14" t="s">
        <v>29</v>
      </c>
      <c r="G60" s="14" t="s">
        <v>61</v>
      </c>
      <c r="H60" s="14"/>
      <c r="I60" s="14" t="s">
        <v>308</v>
      </c>
      <c r="J60" s="14" t="s">
        <v>236</v>
      </c>
      <c r="K60" s="14" t="s">
        <v>47</v>
      </c>
    </row>
    <row r="61" customFormat="false" ht="23.25" hidden="false" customHeight="true" outlineLevel="0" collapsed="false">
      <c r="A61" s="14" t="s">
        <v>309</v>
      </c>
      <c r="B61" s="14" t="s">
        <v>11</v>
      </c>
      <c r="C61" s="14" t="s">
        <v>310</v>
      </c>
      <c r="D61" s="14" t="s">
        <v>311</v>
      </c>
      <c r="E61" s="14" t="s">
        <v>5</v>
      </c>
      <c r="F61" s="14" t="s">
        <v>29</v>
      </c>
      <c r="G61" s="14" t="s">
        <v>61</v>
      </c>
      <c r="H61" s="14"/>
      <c r="I61" s="14" t="s">
        <v>312</v>
      </c>
      <c r="J61" s="14" t="s">
        <v>236</v>
      </c>
      <c r="K61" s="14" t="s">
        <v>47</v>
      </c>
    </row>
    <row r="62" customFormat="false" ht="15" hidden="false" customHeight="true" outlineLevel="0" collapsed="false">
      <c r="A62" s="14" t="s">
        <v>313</v>
      </c>
      <c r="B62" s="14" t="s">
        <v>11</v>
      </c>
      <c r="C62" s="14" t="s">
        <v>314</v>
      </c>
      <c r="D62" s="14" t="s">
        <v>315</v>
      </c>
      <c r="E62" s="14" t="s">
        <v>5</v>
      </c>
      <c r="F62" s="14" t="s">
        <v>29</v>
      </c>
      <c r="G62" s="14" t="s">
        <v>61</v>
      </c>
      <c r="H62" s="14"/>
      <c r="I62" s="14" t="s">
        <v>316</v>
      </c>
      <c r="J62" s="14" t="s">
        <v>236</v>
      </c>
      <c r="K62" s="14" t="s">
        <v>47</v>
      </c>
    </row>
    <row r="63" customFormat="false" ht="15" hidden="false" customHeight="true" outlineLevel="0" collapsed="false">
      <c r="A63" s="14" t="s">
        <v>317</v>
      </c>
      <c r="B63" s="14" t="s">
        <v>11</v>
      </c>
      <c r="C63" s="14" t="s">
        <v>318</v>
      </c>
      <c r="D63" s="14" t="s">
        <v>319</v>
      </c>
      <c r="E63" s="14" t="s">
        <v>5</v>
      </c>
      <c r="F63" s="14" t="s">
        <v>29</v>
      </c>
      <c r="G63" s="14" t="s">
        <v>61</v>
      </c>
      <c r="H63" s="14"/>
      <c r="I63" s="14" t="s">
        <v>320</v>
      </c>
      <c r="J63" s="14" t="s">
        <v>236</v>
      </c>
      <c r="K63" s="14" t="s">
        <v>47</v>
      </c>
    </row>
    <row r="64" customFormat="false" ht="15" hidden="false" customHeight="true" outlineLevel="0" collapsed="false">
      <c r="A64" s="14" t="s">
        <v>321</v>
      </c>
      <c r="B64" s="14" t="s">
        <v>11</v>
      </c>
      <c r="C64" s="14" t="s">
        <v>322</v>
      </c>
      <c r="D64" s="14" t="s">
        <v>323</v>
      </c>
      <c r="E64" s="14" t="s">
        <v>5</v>
      </c>
      <c r="F64" s="14" t="s">
        <v>29</v>
      </c>
      <c r="G64" s="14" t="s">
        <v>61</v>
      </c>
      <c r="H64" s="14"/>
      <c r="I64" s="14" t="s">
        <v>324</v>
      </c>
      <c r="J64" s="14" t="s">
        <v>236</v>
      </c>
      <c r="K64" s="14" t="s">
        <v>47</v>
      </c>
    </row>
    <row r="65" customFormat="false" ht="15" hidden="false" customHeight="true" outlineLevel="0" collapsed="false">
      <c r="A65" s="14" t="s">
        <v>325</v>
      </c>
      <c r="B65" s="14" t="s">
        <v>11</v>
      </c>
      <c r="C65" s="14" t="s">
        <v>326</v>
      </c>
      <c r="D65" s="14" t="s">
        <v>327</v>
      </c>
      <c r="E65" s="14" t="s">
        <v>5</v>
      </c>
      <c r="F65" s="14" t="s">
        <v>29</v>
      </c>
      <c r="G65" s="14" t="s">
        <v>61</v>
      </c>
      <c r="H65" s="14"/>
      <c r="I65" s="14" t="s">
        <v>328</v>
      </c>
      <c r="J65" s="14" t="s">
        <v>236</v>
      </c>
      <c r="K65" s="14" t="s">
        <v>47</v>
      </c>
    </row>
    <row r="66" customFormat="false" ht="15" hidden="false" customHeight="true" outlineLevel="0" collapsed="false">
      <c r="A66" s="14" t="s">
        <v>329</v>
      </c>
      <c r="B66" s="14" t="s">
        <v>11</v>
      </c>
      <c r="C66" s="14" t="s">
        <v>330</v>
      </c>
      <c r="D66" s="14" t="s">
        <v>331</v>
      </c>
      <c r="E66" s="14" t="s">
        <v>5</v>
      </c>
      <c r="F66" s="14" t="s">
        <v>29</v>
      </c>
      <c r="G66" s="14" t="s">
        <v>61</v>
      </c>
      <c r="H66" s="14"/>
      <c r="I66" s="14" t="s">
        <v>332</v>
      </c>
      <c r="J66" s="14" t="s">
        <v>236</v>
      </c>
      <c r="K66" s="14" t="s">
        <v>47</v>
      </c>
    </row>
    <row r="67" customFormat="false" ht="15" hidden="false" customHeight="true" outlineLevel="0" collapsed="false">
      <c r="A67" s="14" t="s">
        <v>333</v>
      </c>
      <c r="B67" s="14" t="s">
        <v>11</v>
      </c>
      <c r="C67" s="14" t="s">
        <v>334</v>
      </c>
      <c r="D67" s="14" t="s">
        <v>335</v>
      </c>
      <c r="E67" s="14" t="s">
        <v>5</v>
      </c>
      <c r="F67" s="14" t="s">
        <v>29</v>
      </c>
      <c r="G67" s="14" t="s">
        <v>61</v>
      </c>
      <c r="H67" s="14"/>
      <c r="I67" s="14" t="s">
        <v>336</v>
      </c>
      <c r="J67" s="14" t="s">
        <v>236</v>
      </c>
      <c r="K67" s="14" t="s">
        <v>47</v>
      </c>
    </row>
    <row r="68" customFormat="false" ht="15" hidden="false" customHeight="true" outlineLevel="0" collapsed="false">
      <c r="A68" s="14" t="s">
        <v>337</v>
      </c>
      <c r="B68" s="14" t="s">
        <v>11</v>
      </c>
      <c r="C68" s="14" t="s">
        <v>338</v>
      </c>
      <c r="D68" s="14" t="s">
        <v>339</v>
      </c>
      <c r="E68" s="14" t="s">
        <v>5</v>
      </c>
      <c r="F68" s="14" t="s">
        <v>29</v>
      </c>
      <c r="G68" s="14" t="s">
        <v>61</v>
      </c>
      <c r="H68" s="14"/>
      <c r="I68" s="14" t="s">
        <v>340</v>
      </c>
      <c r="J68" s="14" t="s">
        <v>236</v>
      </c>
      <c r="K68" s="14" t="s">
        <v>47</v>
      </c>
    </row>
    <row r="69" customFormat="false" ht="15" hidden="false" customHeight="true" outlineLevel="0" collapsed="false">
      <c r="A69" s="14" t="s">
        <v>341</v>
      </c>
      <c r="B69" s="14" t="s">
        <v>11</v>
      </c>
      <c r="C69" s="14" t="s">
        <v>342</v>
      </c>
      <c r="D69" s="14" t="s">
        <v>343</v>
      </c>
      <c r="E69" s="14" t="s">
        <v>5</v>
      </c>
      <c r="F69" s="14" t="s">
        <v>29</v>
      </c>
      <c r="G69" s="14" t="s">
        <v>61</v>
      </c>
      <c r="H69" s="14"/>
      <c r="I69" s="14" t="s">
        <v>344</v>
      </c>
      <c r="J69" s="14" t="s">
        <v>236</v>
      </c>
      <c r="K69" s="14" t="s">
        <v>47</v>
      </c>
    </row>
    <row r="70" customFormat="false" ht="15" hidden="false" customHeight="true" outlineLevel="0" collapsed="false">
      <c r="A70" s="14" t="s">
        <v>345</v>
      </c>
      <c r="B70" s="14" t="s">
        <v>11</v>
      </c>
      <c r="C70" s="14" t="s">
        <v>346</v>
      </c>
      <c r="D70" s="14" t="s">
        <v>347</v>
      </c>
      <c r="E70" s="14" t="s">
        <v>5</v>
      </c>
      <c r="F70" s="14" t="s">
        <v>29</v>
      </c>
      <c r="G70" s="14" t="s">
        <v>61</v>
      </c>
      <c r="H70" s="14"/>
      <c r="I70" s="14" t="s">
        <v>348</v>
      </c>
      <c r="J70" s="14" t="s">
        <v>236</v>
      </c>
      <c r="K70" s="14" t="s">
        <v>47</v>
      </c>
    </row>
    <row r="71" customFormat="false" ht="15" hidden="false" customHeight="true" outlineLevel="0" collapsed="false">
      <c r="A71" s="14" t="s">
        <v>349</v>
      </c>
      <c r="B71" s="14" t="s">
        <v>11</v>
      </c>
      <c r="C71" s="14" t="s">
        <v>350</v>
      </c>
      <c r="D71" s="14" t="s">
        <v>351</v>
      </c>
      <c r="E71" s="14" t="s">
        <v>5</v>
      </c>
      <c r="F71" s="14" t="s">
        <v>29</v>
      </c>
      <c r="G71" s="14" t="s">
        <v>61</v>
      </c>
      <c r="H71" s="14"/>
      <c r="I71" s="14" t="s">
        <v>352</v>
      </c>
      <c r="J71" s="14" t="s">
        <v>236</v>
      </c>
      <c r="K71" s="14" t="s">
        <v>47</v>
      </c>
    </row>
    <row r="72" customFormat="false" ht="15" hidden="false" customHeight="true" outlineLevel="0" collapsed="false">
      <c r="A72" s="14" t="s">
        <v>353</v>
      </c>
      <c r="B72" s="14" t="s">
        <v>11</v>
      </c>
      <c r="C72" s="14" t="s">
        <v>354</v>
      </c>
      <c r="D72" s="14" t="s">
        <v>355</v>
      </c>
      <c r="E72" s="14" t="s">
        <v>5</v>
      </c>
      <c r="F72" s="14" t="s">
        <v>29</v>
      </c>
      <c r="G72" s="14" t="s">
        <v>61</v>
      </c>
      <c r="H72" s="14"/>
      <c r="I72" s="14" t="s">
        <v>356</v>
      </c>
      <c r="J72" s="14" t="s">
        <v>236</v>
      </c>
      <c r="K72" s="14" t="s">
        <v>47</v>
      </c>
    </row>
    <row r="73" customFormat="false" ht="15" hidden="false" customHeight="true" outlineLevel="0" collapsed="false">
      <c r="A73" s="14" t="s">
        <v>357</v>
      </c>
      <c r="B73" s="14" t="s">
        <v>11</v>
      </c>
      <c r="C73" s="14" t="s">
        <v>358</v>
      </c>
      <c r="D73" s="14" t="s">
        <v>359</v>
      </c>
      <c r="E73" s="14" t="s">
        <v>5</v>
      </c>
      <c r="F73" s="14" t="s">
        <v>29</v>
      </c>
      <c r="G73" s="14" t="s">
        <v>61</v>
      </c>
      <c r="H73" s="14"/>
      <c r="I73" s="14" t="s">
        <v>360</v>
      </c>
      <c r="J73" s="14" t="s">
        <v>236</v>
      </c>
      <c r="K73" s="14" t="s">
        <v>47</v>
      </c>
    </row>
    <row r="74" customFormat="false" ht="15" hidden="false" customHeight="true" outlineLevel="0" collapsed="false">
      <c r="A74" s="14" t="s">
        <v>361</v>
      </c>
      <c r="B74" s="14" t="s">
        <v>11</v>
      </c>
      <c r="C74" s="14" t="s">
        <v>362</v>
      </c>
      <c r="D74" s="14" t="s">
        <v>363</v>
      </c>
      <c r="E74" s="14" t="s">
        <v>5</v>
      </c>
      <c r="F74" s="14" t="s">
        <v>29</v>
      </c>
      <c r="G74" s="14" t="s">
        <v>61</v>
      </c>
      <c r="H74" s="14"/>
      <c r="I74" s="14" t="s">
        <v>364</v>
      </c>
      <c r="J74" s="14" t="s">
        <v>236</v>
      </c>
      <c r="K74" s="14" t="s">
        <v>47</v>
      </c>
    </row>
    <row r="75" customFormat="false" ht="15" hidden="false" customHeight="true" outlineLevel="0" collapsed="false">
      <c r="A75" s="14" t="s">
        <v>365</v>
      </c>
      <c r="B75" s="14" t="s">
        <v>11</v>
      </c>
      <c r="C75" s="14" t="s">
        <v>366</v>
      </c>
      <c r="D75" s="14" t="s">
        <v>367</v>
      </c>
      <c r="E75" s="14" t="s">
        <v>5</v>
      </c>
      <c r="F75" s="14" t="s">
        <v>29</v>
      </c>
      <c r="G75" s="14" t="s">
        <v>61</v>
      </c>
      <c r="H75" s="14"/>
      <c r="I75" s="14" t="s">
        <v>336</v>
      </c>
      <c r="J75" s="14" t="s">
        <v>236</v>
      </c>
      <c r="K75" s="14" t="s">
        <v>47</v>
      </c>
    </row>
    <row r="76" customFormat="false" ht="15" hidden="false" customHeight="true" outlineLevel="0" collapsed="false">
      <c r="A76" s="14" t="s">
        <v>368</v>
      </c>
      <c r="B76" s="14" t="s">
        <v>11</v>
      </c>
      <c r="C76" s="14" t="s">
        <v>369</v>
      </c>
      <c r="D76" s="14" t="s">
        <v>370</v>
      </c>
      <c r="E76" s="14" t="s">
        <v>5</v>
      </c>
      <c r="F76" s="14" t="s">
        <v>29</v>
      </c>
      <c r="G76" s="14" t="s">
        <v>61</v>
      </c>
      <c r="H76" s="14"/>
      <c r="I76" s="14" t="s">
        <v>371</v>
      </c>
      <c r="J76" s="14" t="s">
        <v>236</v>
      </c>
      <c r="K76" s="14" t="s">
        <v>47</v>
      </c>
    </row>
    <row r="77" customFormat="false" ht="15" hidden="false" customHeight="true" outlineLevel="0" collapsed="false">
      <c r="A77" s="14" t="s">
        <v>372</v>
      </c>
      <c r="B77" s="14" t="s">
        <v>11</v>
      </c>
      <c r="C77" s="14" t="s">
        <v>373</v>
      </c>
      <c r="D77" s="14" t="s">
        <v>374</v>
      </c>
      <c r="E77" s="14" t="s">
        <v>5</v>
      </c>
      <c r="F77" s="14" t="s">
        <v>29</v>
      </c>
      <c r="G77" s="14" t="s">
        <v>61</v>
      </c>
      <c r="H77" s="14"/>
      <c r="I77" s="14" t="s">
        <v>375</v>
      </c>
      <c r="J77" s="14" t="s">
        <v>236</v>
      </c>
      <c r="K77" s="14" t="s">
        <v>47</v>
      </c>
    </row>
    <row r="78" customFormat="false" ht="15" hidden="false" customHeight="true" outlineLevel="0" collapsed="false">
      <c r="A78" s="14" t="s">
        <v>376</v>
      </c>
      <c r="B78" s="14" t="s">
        <v>11</v>
      </c>
      <c r="C78" s="14" t="s">
        <v>377</v>
      </c>
      <c r="D78" s="14" t="s">
        <v>378</v>
      </c>
      <c r="E78" s="14" t="s">
        <v>5</v>
      </c>
      <c r="F78" s="14" t="s">
        <v>29</v>
      </c>
      <c r="G78" s="14" t="s">
        <v>61</v>
      </c>
      <c r="H78" s="14"/>
      <c r="I78" s="14" t="s">
        <v>379</v>
      </c>
      <c r="J78" s="14" t="s">
        <v>236</v>
      </c>
      <c r="K78" s="14" t="s">
        <v>47</v>
      </c>
    </row>
    <row r="79" customFormat="false" ht="15" hidden="false" customHeight="true" outlineLevel="0" collapsed="false">
      <c r="A79" s="14" t="s">
        <v>380</v>
      </c>
      <c r="B79" s="14" t="s">
        <v>11</v>
      </c>
      <c r="C79" s="14" t="s">
        <v>381</v>
      </c>
      <c r="D79" s="14" t="s">
        <v>382</v>
      </c>
      <c r="E79" s="14" t="s">
        <v>5</v>
      </c>
      <c r="F79" s="14" t="s">
        <v>29</v>
      </c>
      <c r="G79" s="14" t="s">
        <v>61</v>
      </c>
      <c r="H79" s="14"/>
      <c r="I79" s="14" t="s">
        <v>383</v>
      </c>
      <c r="J79" s="14" t="s">
        <v>236</v>
      </c>
      <c r="K79" s="14" t="s">
        <v>47</v>
      </c>
    </row>
    <row r="80" customFormat="false" ht="15" hidden="false" customHeight="true" outlineLevel="0" collapsed="false">
      <c r="A80" s="14" t="s">
        <v>384</v>
      </c>
      <c r="B80" s="14" t="s">
        <v>11</v>
      </c>
      <c r="C80" s="14" t="s">
        <v>385</v>
      </c>
      <c r="D80" s="14" t="s">
        <v>386</v>
      </c>
      <c r="E80" s="14" t="s">
        <v>5</v>
      </c>
      <c r="F80" s="14" t="s">
        <v>29</v>
      </c>
      <c r="G80" s="14" t="s">
        <v>61</v>
      </c>
      <c r="H80" s="14"/>
      <c r="I80" s="14" t="s">
        <v>387</v>
      </c>
      <c r="J80" s="14" t="s">
        <v>236</v>
      </c>
      <c r="K80" s="14" t="s">
        <v>47</v>
      </c>
    </row>
    <row r="81" customFormat="false" ht="15" hidden="false" customHeight="true" outlineLevel="0" collapsed="false">
      <c r="A81" s="14" t="s">
        <v>388</v>
      </c>
      <c r="B81" s="14" t="s">
        <v>11</v>
      </c>
      <c r="C81" s="14" t="s">
        <v>389</v>
      </c>
      <c r="D81" s="14" t="s">
        <v>390</v>
      </c>
      <c r="E81" s="14" t="s">
        <v>5</v>
      </c>
      <c r="F81" s="14" t="s">
        <v>29</v>
      </c>
      <c r="G81" s="14" t="s">
        <v>61</v>
      </c>
      <c r="H81" s="14"/>
      <c r="I81" s="14" t="s">
        <v>391</v>
      </c>
      <c r="J81" s="14" t="s">
        <v>236</v>
      </c>
      <c r="K81" s="14" t="s">
        <v>47</v>
      </c>
    </row>
    <row r="82" customFormat="false" ht="15" hidden="false" customHeight="true" outlineLevel="0" collapsed="false">
      <c r="A82" s="14" t="s">
        <v>392</v>
      </c>
      <c r="B82" s="14" t="s">
        <v>11</v>
      </c>
      <c r="C82" s="14" t="s">
        <v>393</v>
      </c>
      <c r="D82" s="14" t="s">
        <v>394</v>
      </c>
      <c r="E82" s="14" t="s">
        <v>5</v>
      </c>
      <c r="F82" s="14" t="s">
        <v>29</v>
      </c>
      <c r="G82" s="14" t="s">
        <v>61</v>
      </c>
      <c r="H82" s="14"/>
      <c r="I82" s="14" t="s">
        <v>395</v>
      </c>
      <c r="J82" s="14" t="s">
        <v>236</v>
      </c>
      <c r="K82" s="14" t="s">
        <v>47</v>
      </c>
    </row>
    <row r="83" customFormat="false" ht="15" hidden="false" customHeight="true" outlineLevel="0" collapsed="false">
      <c r="A83" s="14" t="s">
        <v>396</v>
      </c>
      <c r="B83" s="14" t="s">
        <v>11</v>
      </c>
      <c r="C83" s="14" t="s">
        <v>397</v>
      </c>
      <c r="D83" s="14" t="s">
        <v>398</v>
      </c>
      <c r="E83" s="14" t="s">
        <v>5</v>
      </c>
      <c r="F83" s="14" t="s">
        <v>29</v>
      </c>
      <c r="G83" s="14" t="s">
        <v>61</v>
      </c>
      <c r="H83" s="14"/>
      <c r="I83" s="14" t="s">
        <v>399</v>
      </c>
      <c r="J83" s="14" t="s">
        <v>236</v>
      </c>
      <c r="K83" s="14" t="s">
        <v>47</v>
      </c>
    </row>
    <row r="84" customFormat="false" ht="15" hidden="false" customHeight="true" outlineLevel="0" collapsed="false">
      <c r="A84" s="14" t="s">
        <v>400</v>
      </c>
      <c r="B84" s="14" t="s">
        <v>11</v>
      </c>
      <c r="C84" s="14" t="s">
        <v>401</v>
      </c>
      <c r="D84" s="14" t="s">
        <v>402</v>
      </c>
      <c r="E84" s="14" t="s">
        <v>5</v>
      </c>
      <c r="F84" s="14" t="s">
        <v>29</v>
      </c>
      <c r="G84" s="14" t="s">
        <v>61</v>
      </c>
      <c r="H84" s="14"/>
      <c r="I84" s="14" t="s">
        <v>403</v>
      </c>
      <c r="J84" s="14" t="s">
        <v>236</v>
      </c>
      <c r="K84" s="14" t="s">
        <v>47</v>
      </c>
    </row>
    <row r="85" customFormat="false" ht="15" hidden="false" customHeight="true" outlineLevel="0" collapsed="false">
      <c r="A85" s="14" t="s">
        <v>404</v>
      </c>
      <c r="B85" s="14" t="s">
        <v>11</v>
      </c>
      <c r="C85" s="14" t="s">
        <v>405</v>
      </c>
      <c r="D85" s="14" t="s">
        <v>406</v>
      </c>
      <c r="E85" s="14" t="s">
        <v>5</v>
      </c>
      <c r="F85" s="14" t="s">
        <v>29</v>
      </c>
      <c r="G85" s="14" t="s">
        <v>61</v>
      </c>
      <c r="H85" s="14"/>
      <c r="I85" s="14" t="s">
        <v>407</v>
      </c>
      <c r="J85" s="14" t="s">
        <v>236</v>
      </c>
      <c r="K85" s="14" t="s">
        <v>47</v>
      </c>
    </row>
    <row r="86" customFormat="false" ht="15" hidden="false" customHeight="true" outlineLevel="0" collapsed="false">
      <c r="A86" s="14" t="s">
        <v>408</v>
      </c>
      <c r="B86" s="14" t="s">
        <v>11</v>
      </c>
      <c r="C86" s="14" t="s">
        <v>409</v>
      </c>
      <c r="D86" s="14" t="s">
        <v>410</v>
      </c>
      <c r="E86" s="14" t="s">
        <v>5</v>
      </c>
      <c r="F86" s="14" t="s">
        <v>29</v>
      </c>
      <c r="G86" s="14" t="s">
        <v>61</v>
      </c>
      <c r="H86" s="14"/>
      <c r="I86" s="14" t="s">
        <v>411</v>
      </c>
      <c r="J86" s="14" t="s">
        <v>236</v>
      </c>
      <c r="K86" s="14" t="s">
        <v>47</v>
      </c>
    </row>
    <row r="87" customFormat="false" ht="15" hidden="false" customHeight="true" outlineLevel="0" collapsed="false">
      <c r="A87" s="14" t="s">
        <v>412</v>
      </c>
      <c r="B87" s="14" t="s">
        <v>11</v>
      </c>
      <c r="C87" s="14" t="s">
        <v>413</v>
      </c>
      <c r="D87" s="14" t="s">
        <v>414</v>
      </c>
      <c r="E87" s="14" t="s">
        <v>5</v>
      </c>
      <c r="F87" s="14" t="s">
        <v>29</v>
      </c>
      <c r="G87" s="14" t="s">
        <v>61</v>
      </c>
      <c r="H87" s="14"/>
      <c r="I87" s="14" t="s">
        <v>415</v>
      </c>
      <c r="J87" s="14" t="s">
        <v>236</v>
      </c>
      <c r="K87" s="14" t="s">
        <v>47</v>
      </c>
    </row>
    <row r="88" customFormat="false" ht="15" hidden="false" customHeight="true" outlineLevel="0" collapsed="false">
      <c r="A88" s="14" t="s">
        <v>416</v>
      </c>
      <c r="B88" s="14" t="s">
        <v>11</v>
      </c>
      <c r="C88" s="14" t="s">
        <v>417</v>
      </c>
      <c r="D88" s="14" t="s">
        <v>418</v>
      </c>
      <c r="E88" s="14" t="s">
        <v>5</v>
      </c>
      <c r="F88" s="14" t="s">
        <v>29</v>
      </c>
      <c r="G88" s="14" t="s">
        <v>61</v>
      </c>
      <c r="H88" s="14"/>
      <c r="I88" s="14" t="s">
        <v>419</v>
      </c>
      <c r="J88" s="14" t="s">
        <v>236</v>
      </c>
      <c r="K88" s="14" t="s">
        <v>47</v>
      </c>
    </row>
    <row r="89" customFormat="false" ht="15" hidden="false" customHeight="true" outlineLevel="0" collapsed="false">
      <c r="A89" s="14" t="s">
        <v>420</v>
      </c>
      <c r="B89" s="14" t="s">
        <v>11</v>
      </c>
      <c r="C89" s="14" t="s">
        <v>421</v>
      </c>
      <c r="D89" s="14" t="s">
        <v>422</v>
      </c>
      <c r="E89" s="14" t="s">
        <v>5</v>
      </c>
      <c r="F89" s="14" t="s">
        <v>29</v>
      </c>
      <c r="G89" s="14" t="s">
        <v>61</v>
      </c>
      <c r="H89" s="14"/>
      <c r="I89" s="14" t="s">
        <v>423</v>
      </c>
      <c r="J89" s="14" t="s">
        <v>236</v>
      </c>
      <c r="K89" s="14" t="s">
        <v>47</v>
      </c>
    </row>
    <row r="90" customFormat="false" ht="15" hidden="false" customHeight="true" outlineLevel="0" collapsed="false">
      <c r="A90" s="14" t="s">
        <v>424</v>
      </c>
      <c r="B90" s="14" t="s">
        <v>11</v>
      </c>
      <c r="C90" s="14" t="s">
        <v>425</v>
      </c>
      <c r="D90" s="14" t="s">
        <v>426</v>
      </c>
      <c r="E90" s="14" t="s">
        <v>5</v>
      </c>
      <c r="F90" s="14" t="s">
        <v>29</v>
      </c>
      <c r="G90" s="14" t="s">
        <v>61</v>
      </c>
      <c r="H90" s="14"/>
      <c r="I90" s="14" t="s">
        <v>427</v>
      </c>
      <c r="J90" s="14" t="s">
        <v>236</v>
      </c>
      <c r="K90" s="14" t="s">
        <v>47</v>
      </c>
    </row>
    <row r="91" customFormat="false" ht="15" hidden="false" customHeight="true" outlineLevel="0" collapsed="false">
      <c r="A91" s="14" t="s">
        <v>428</v>
      </c>
      <c r="B91" s="14" t="s">
        <v>11</v>
      </c>
      <c r="C91" s="14" t="s">
        <v>429</v>
      </c>
      <c r="D91" s="14" t="s">
        <v>430</v>
      </c>
      <c r="E91" s="14" t="s">
        <v>5</v>
      </c>
      <c r="F91" s="14" t="s">
        <v>29</v>
      </c>
      <c r="G91" s="14" t="s">
        <v>61</v>
      </c>
      <c r="H91" s="14"/>
      <c r="I91" s="14" t="s">
        <v>431</v>
      </c>
      <c r="J91" s="14" t="s">
        <v>236</v>
      </c>
      <c r="K91" s="14" t="s">
        <v>47</v>
      </c>
    </row>
    <row r="92" customFormat="false" ht="15" hidden="false" customHeight="true" outlineLevel="0" collapsed="false">
      <c r="A92" s="14" t="s">
        <v>432</v>
      </c>
      <c r="B92" s="14" t="s">
        <v>11</v>
      </c>
      <c r="C92" s="14" t="s">
        <v>433</v>
      </c>
      <c r="D92" s="14" t="s">
        <v>434</v>
      </c>
      <c r="E92" s="14" t="s">
        <v>5</v>
      </c>
      <c r="F92" s="14" t="s">
        <v>29</v>
      </c>
      <c r="G92" s="14" t="s">
        <v>61</v>
      </c>
      <c r="H92" s="14"/>
      <c r="I92" s="14" t="s">
        <v>435</v>
      </c>
      <c r="J92" s="14" t="s">
        <v>236</v>
      </c>
      <c r="K92" s="14" t="s">
        <v>47</v>
      </c>
    </row>
    <row r="93" customFormat="false" ht="15" hidden="false" customHeight="true" outlineLevel="0" collapsed="false">
      <c r="A93" s="14" t="s">
        <v>436</v>
      </c>
      <c r="B93" s="14" t="s">
        <v>11</v>
      </c>
      <c r="C93" s="14" t="s">
        <v>437</v>
      </c>
      <c r="D93" s="14" t="s">
        <v>438</v>
      </c>
      <c r="E93" s="14" t="s">
        <v>5</v>
      </c>
      <c r="F93" s="14" t="s">
        <v>29</v>
      </c>
      <c r="G93" s="14" t="s">
        <v>61</v>
      </c>
      <c r="H93" s="14"/>
      <c r="I93" s="14" t="s">
        <v>439</v>
      </c>
      <c r="J93" s="14" t="s">
        <v>236</v>
      </c>
      <c r="K93" s="14" t="s">
        <v>47</v>
      </c>
    </row>
    <row r="94" customFormat="false" ht="15" hidden="false" customHeight="true" outlineLevel="0" collapsed="false">
      <c r="A94" s="14" t="s">
        <v>440</v>
      </c>
      <c r="B94" s="14" t="s">
        <v>11</v>
      </c>
      <c r="C94" s="14" t="s">
        <v>441</v>
      </c>
      <c r="D94" s="14" t="s">
        <v>442</v>
      </c>
      <c r="E94" s="14" t="s">
        <v>5</v>
      </c>
      <c r="F94" s="14" t="s">
        <v>29</v>
      </c>
      <c r="G94" s="14" t="s">
        <v>61</v>
      </c>
      <c r="H94" s="14"/>
      <c r="I94" s="14" t="s">
        <v>443</v>
      </c>
      <c r="J94" s="14" t="s">
        <v>236</v>
      </c>
      <c r="K94" s="14" t="s">
        <v>47</v>
      </c>
    </row>
    <row r="95" customFormat="false" ht="15" hidden="false" customHeight="true" outlineLevel="0" collapsed="false">
      <c r="A95" s="14" t="s">
        <v>444</v>
      </c>
      <c r="B95" s="14" t="s">
        <v>11</v>
      </c>
      <c r="C95" s="14" t="s">
        <v>445</v>
      </c>
      <c r="D95" s="14" t="s">
        <v>446</v>
      </c>
      <c r="E95" s="14" t="s">
        <v>5</v>
      </c>
      <c r="F95" s="14" t="s">
        <v>29</v>
      </c>
      <c r="G95" s="14" t="s">
        <v>61</v>
      </c>
      <c r="H95" s="14"/>
      <c r="I95" s="14" t="s">
        <v>447</v>
      </c>
      <c r="J95" s="14" t="s">
        <v>236</v>
      </c>
      <c r="K95" s="14" t="s">
        <v>47</v>
      </c>
    </row>
    <row r="96" customFormat="false" ht="15" hidden="false" customHeight="true" outlineLevel="0" collapsed="false">
      <c r="A96" s="14" t="s">
        <v>448</v>
      </c>
      <c r="B96" s="14" t="s">
        <v>11</v>
      </c>
      <c r="C96" s="14" t="s">
        <v>449</v>
      </c>
      <c r="D96" s="14" t="s">
        <v>450</v>
      </c>
      <c r="E96" s="14" t="s">
        <v>5</v>
      </c>
      <c r="F96" s="14" t="s">
        <v>29</v>
      </c>
      <c r="G96" s="14" t="s">
        <v>61</v>
      </c>
      <c r="H96" s="14"/>
      <c r="I96" s="14" t="s">
        <v>451</v>
      </c>
      <c r="J96" s="14" t="s">
        <v>236</v>
      </c>
      <c r="K96" s="14" t="s">
        <v>47</v>
      </c>
    </row>
    <row r="97" customFormat="false" ht="15" hidden="false" customHeight="true" outlineLevel="0" collapsed="false">
      <c r="A97" s="14" t="s">
        <v>452</v>
      </c>
      <c r="B97" s="14" t="s">
        <v>11</v>
      </c>
      <c r="C97" s="14" t="s">
        <v>453</v>
      </c>
      <c r="D97" s="14" t="s">
        <v>454</v>
      </c>
      <c r="E97" s="14" t="s">
        <v>5</v>
      </c>
      <c r="F97" s="14" t="s">
        <v>29</v>
      </c>
      <c r="G97" s="14" t="s">
        <v>61</v>
      </c>
      <c r="H97" s="14"/>
      <c r="I97" s="14" t="s">
        <v>455</v>
      </c>
      <c r="J97" s="14" t="s">
        <v>236</v>
      </c>
      <c r="K97" s="14" t="s">
        <v>47</v>
      </c>
    </row>
    <row r="98" customFormat="false" ht="15" hidden="false" customHeight="true" outlineLevel="0" collapsed="false">
      <c r="A98" s="14" t="s">
        <v>456</v>
      </c>
      <c r="B98" s="14" t="s">
        <v>11</v>
      </c>
      <c r="C98" s="14" t="s">
        <v>457</v>
      </c>
      <c r="D98" s="14" t="s">
        <v>458</v>
      </c>
      <c r="E98" s="14" t="s">
        <v>5</v>
      </c>
      <c r="F98" s="14" t="s">
        <v>29</v>
      </c>
      <c r="G98" s="14" t="s">
        <v>61</v>
      </c>
      <c r="H98" s="14"/>
      <c r="I98" s="14" t="s">
        <v>459</v>
      </c>
      <c r="J98" s="14" t="s">
        <v>236</v>
      </c>
      <c r="K98" s="14" t="s">
        <v>47</v>
      </c>
    </row>
    <row r="99" customFormat="false" ht="15" hidden="false" customHeight="true" outlineLevel="0" collapsed="false">
      <c r="A99" s="14" t="s">
        <v>460</v>
      </c>
      <c r="B99" s="14" t="s">
        <v>11</v>
      </c>
      <c r="C99" s="14" t="s">
        <v>461</v>
      </c>
      <c r="D99" s="14" t="s">
        <v>462</v>
      </c>
      <c r="E99" s="14" t="s">
        <v>5</v>
      </c>
      <c r="F99" s="14" t="s">
        <v>29</v>
      </c>
      <c r="G99" s="14" t="s">
        <v>61</v>
      </c>
      <c r="H99" s="14"/>
      <c r="I99" s="14" t="s">
        <v>463</v>
      </c>
      <c r="J99" s="14" t="s">
        <v>236</v>
      </c>
      <c r="K99" s="14" t="s">
        <v>47</v>
      </c>
    </row>
    <row r="100" customFormat="false" ht="15" hidden="false" customHeight="true" outlineLevel="0" collapsed="false">
      <c r="A100" s="14" t="s">
        <v>464</v>
      </c>
      <c r="B100" s="14" t="s">
        <v>11</v>
      </c>
      <c r="C100" s="14" t="s">
        <v>465</v>
      </c>
      <c r="D100" s="14" t="s">
        <v>466</v>
      </c>
      <c r="E100" s="14" t="s">
        <v>5</v>
      </c>
      <c r="F100" s="14" t="s">
        <v>29</v>
      </c>
      <c r="G100" s="14" t="s">
        <v>61</v>
      </c>
      <c r="H100" s="14"/>
      <c r="I100" s="14" t="s">
        <v>467</v>
      </c>
      <c r="J100" s="14" t="s">
        <v>236</v>
      </c>
      <c r="K100" s="14" t="s">
        <v>47</v>
      </c>
    </row>
    <row r="101" customFormat="false" ht="15" hidden="false" customHeight="true" outlineLevel="0" collapsed="false">
      <c r="A101" s="14" t="s">
        <v>468</v>
      </c>
      <c r="B101" s="14" t="s">
        <v>11</v>
      </c>
      <c r="C101" s="14" t="s">
        <v>469</v>
      </c>
      <c r="D101" s="14" t="s">
        <v>470</v>
      </c>
      <c r="E101" s="14" t="s">
        <v>5</v>
      </c>
      <c r="F101" s="14" t="s">
        <v>29</v>
      </c>
      <c r="G101" s="14" t="s">
        <v>61</v>
      </c>
      <c r="H101" s="14"/>
      <c r="I101" s="14" t="s">
        <v>471</v>
      </c>
      <c r="J101" s="14" t="s">
        <v>236</v>
      </c>
      <c r="K101" s="14" t="s">
        <v>47</v>
      </c>
    </row>
    <row r="102" customFormat="false" ht="15" hidden="false" customHeight="true" outlineLevel="0" collapsed="false">
      <c r="A102" s="14" t="s">
        <v>472</v>
      </c>
      <c r="B102" s="14" t="s">
        <v>11</v>
      </c>
      <c r="C102" s="14" t="s">
        <v>473</v>
      </c>
      <c r="D102" s="14" t="s">
        <v>474</v>
      </c>
      <c r="E102" s="14" t="s">
        <v>5</v>
      </c>
      <c r="F102" s="14" t="s">
        <v>29</v>
      </c>
      <c r="G102" s="14" t="s">
        <v>61</v>
      </c>
      <c r="H102" s="14"/>
      <c r="I102" s="14" t="s">
        <v>475</v>
      </c>
      <c r="J102" s="14" t="s">
        <v>236</v>
      </c>
      <c r="K102" s="14" t="s">
        <v>47</v>
      </c>
    </row>
    <row r="103" customFormat="false" ht="15" hidden="false" customHeight="true" outlineLevel="0" collapsed="false">
      <c r="A103" s="14" t="s">
        <v>476</v>
      </c>
      <c r="B103" s="14" t="s">
        <v>11</v>
      </c>
      <c r="C103" s="14" t="s">
        <v>477</v>
      </c>
      <c r="D103" s="14" t="s">
        <v>478</v>
      </c>
      <c r="E103" s="14" t="s">
        <v>5</v>
      </c>
      <c r="F103" s="14" t="s">
        <v>29</v>
      </c>
      <c r="G103" s="14" t="s">
        <v>61</v>
      </c>
      <c r="H103" s="14"/>
      <c r="I103" s="14" t="s">
        <v>479</v>
      </c>
      <c r="J103" s="14" t="s">
        <v>236</v>
      </c>
      <c r="K103" s="14" t="s">
        <v>47</v>
      </c>
    </row>
    <row r="104" customFormat="false" ht="15" hidden="false" customHeight="true" outlineLevel="0" collapsed="false">
      <c r="A104" s="14" t="s">
        <v>480</v>
      </c>
      <c r="B104" s="14" t="s">
        <v>11</v>
      </c>
      <c r="C104" s="14" t="s">
        <v>481</v>
      </c>
      <c r="D104" s="14" t="s">
        <v>482</v>
      </c>
      <c r="E104" s="14" t="s">
        <v>5</v>
      </c>
      <c r="F104" s="14" t="s">
        <v>29</v>
      </c>
      <c r="G104" s="14" t="s">
        <v>61</v>
      </c>
      <c r="H104" s="14"/>
      <c r="I104" s="14" t="s">
        <v>483</v>
      </c>
      <c r="J104" s="14" t="s">
        <v>236</v>
      </c>
      <c r="K104" s="14" t="s">
        <v>47</v>
      </c>
    </row>
    <row r="105" customFormat="false" ht="15" hidden="false" customHeight="true" outlineLevel="0" collapsed="false">
      <c r="A105" s="14" t="s">
        <v>484</v>
      </c>
      <c r="B105" s="14" t="s">
        <v>11</v>
      </c>
      <c r="C105" s="14" t="s">
        <v>485</v>
      </c>
      <c r="D105" s="14" t="s">
        <v>486</v>
      </c>
      <c r="E105" s="14" t="s">
        <v>3</v>
      </c>
      <c r="F105" s="14" t="s">
        <v>27</v>
      </c>
      <c r="G105" s="14" t="s">
        <v>61</v>
      </c>
      <c r="H105" s="14"/>
      <c r="I105" s="14" t="s">
        <v>487</v>
      </c>
      <c r="J105" s="14" t="s">
        <v>488</v>
      </c>
      <c r="K105" s="14" t="s">
        <v>47</v>
      </c>
    </row>
    <row r="106" customFormat="false" ht="15" hidden="false" customHeight="true" outlineLevel="0" collapsed="false">
      <c r="A106" s="14" t="s">
        <v>489</v>
      </c>
      <c r="B106" s="14" t="s">
        <v>11</v>
      </c>
      <c r="C106" s="14" t="s">
        <v>490</v>
      </c>
      <c r="D106" s="14" t="s">
        <v>491</v>
      </c>
      <c r="E106" s="14" t="s">
        <v>5</v>
      </c>
      <c r="F106" s="14" t="s">
        <v>29</v>
      </c>
      <c r="G106" s="14" t="s">
        <v>61</v>
      </c>
      <c r="H106" s="14"/>
      <c r="I106" s="14" t="s">
        <v>492</v>
      </c>
      <c r="J106" s="14" t="s">
        <v>236</v>
      </c>
      <c r="K106" s="14" t="s">
        <v>47</v>
      </c>
    </row>
    <row r="107" customFormat="false" ht="15" hidden="false" customHeight="true" outlineLevel="0" collapsed="false">
      <c r="A107" s="14" t="s">
        <v>493</v>
      </c>
      <c r="B107" s="14" t="s">
        <v>11</v>
      </c>
      <c r="C107" s="14" t="s">
        <v>494</v>
      </c>
      <c r="D107" s="14" t="s">
        <v>495</v>
      </c>
      <c r="E107" s="14" t="s">
        <v>5</v>
      </c>
      <c r="F107" s="14" t="s">
        <v>29</v>
      </c>
      <c r="G107" s="14" t="s">
        <v>61</v>
      </c>
      <c r="H107" s="14"/>
      <c r="I107" s="14" t="s">
        <v>496</v>
      </c>
      <c r="J107" s="14" t="s">
        <v>236</v>
      </c>
      <c r="K107" s="14" t="s">
        <v>47</v>
      </c>
    </row>
    <row r="108" customFormat="false" ht="15" hidden="false" customHeight="true" outlineLevel="0" collapsed="false">
      <c r="A108" s="14" t="s">
        <v>497</v>
      </c>
      <c r="B108" s="14" t="s">
        <v>11</v>
      </c>
      <c r="C108" s="14" t="s">
        <v>498</v>
      </c>
      <c r="D108" s="14" t="s">
        <v>499</v>
      </c>
      <c r="E108" s="14" t="s">
        <v>5</v>
      </c>
      <c r="F108" s="14" t="s">
        <v>29</v>
      </c>
      <c r="G108" s="14" t="s">
        <v>61</v>
      </c>
      <c r="H108" s="14"/>
      <c r="I108" s="14" t="s">
        <v>500</v>
      </c>
      <c r="J108" s="14" t="s">
        <v>236</v>
      </c>
      <c r="K108" s="14" t="s">
        <v>47</v>
      </c>
    </row>
    <row r="109" customFormat="false" ht="15" hidden="false" customHeight="true" outlineLevel="0" collapsed="false">
      <c r="A109" s="14" t="s">
        <v>501</v>
      </c>
      <c r="B109" s="14" t="s">
        <v>11</v>
      </c>
      <c r="C109" s="14" t="s">
        <v>502</v>
      </c>
      <c r="D109" s="14" t="s">
        <v>503</v>
      </c>
      <c r="E109" s="14" t="s">
        <v>5</v>
      </c>
      <c r="F109" s="14" t="s">
        <v>29</v>
      </c>
      <c r="G109" s="14" t="s">
        <v>61</v>
      </c>
      <c r="H109" s="14"/>
      <c r="I109" s="14" t="s">
        <v>504</v>
      </c>
      <c r="J109" s="14" t="s">
        <v>236</v>
      </c>
      <c r="K109" s="14" t="s">
        <v>47</v>
      </c>
    </row>
    <row r="110" customFormat="false" ht="15" hidden="false" customHeight="true" outlineLevel="0" collapsed="false">
      <c r="A110" s="14" t="s">
        <v>505</v>
      </c>
      <c r="B110" s="14" t="s">
        <v>11</v>
      </c>
      <c r="C110" s="14" t="s">
        <v>506</v>
      </c>
      <c r="D110" s="14" t="s">
        <v>507</v>
      </c>
      <c r="E110" s="14" t="s">
        <v>5</v>
      </c>
      <c r="F110" s="14" t="s">
        <v>29</v>
      </c>
      <c r="G110" s="14" t="s">
        <v>61</v>
      </c>
      <c r="H110" s="14"/>
      <c r="I110" s="14" t="s">
        <v>508</v>
      </c>
      <c r="J110" s="14" t="s">
        <v>236</v>
      </c>
      <c r="K110" s="14" t="s">
        <v>47</v>
      </c>
    </row>
    <row r="111" customFormat="false" ht="15" hidden="false" customHeight="true" outlineLevel="0" collapsed="false">
      <c r="A111" s="14" t="s">
        <v>509</v>
      </c>
      <c r="B111" s="14" t="s">
        <v>11</v>
      </c>
      <c r="C111" s="14" t="s">
        <v>510</v>
      </c>
      <c r="D111" s="14" t="s">
        <v>511</v>
      </c>
      <c r="E111" s="14" t="s">
        <v>5</v>
      </c>
      <c r="F111" s="14" t="s">
        <v>29</v>
      </c>
      <c r="G111" s="14" t="s">
        <v>61</v>
      </c>
      <c r="H111" s="14"/>
      <c r="I111" s="14" t="s">
        <v>512</v>
      </c>
      <c r="J111" s="14" t="s">
        <v>236</v>
      </c>
      <c r="K111" s="14" t="s">
        <v>47</v>
      </c>
    </row>
    <row r="112" customFormat="false" ht="15" hidden="false" customHeight="true" outlineLevel="0" collapsed="false">
      <c r="A112" s="14" t="s">
        <v>513</v>
      </c>
      <c r="B112" s="14" t="s">
        <v>11</v>
      </c>
      <c r="C112" s="14" t="s">
        <v>514</v>
      </c>
      <c r="D112" s="14" t="s">
        <v>515</v>
      </c>
      <c r="E112" s="14" t="s">
        <v>5</v>
      </c>
      <c r="F112" s="14" t="s">
        <v>29</v>
      </c>
      <c r="G112" s="14" t="s">
        <v>61</v>
      </c>
      <c r="H112" s="14"/>
      <c r="I112" s="14" t="s">
        <v>516</v>
      </c>
      <c r="J112" s="14" t="s">
        <v>236</v>
      </c>
      <c r="K112" s="14" t="s">
        <v>47</v>
      </c>
    </row>
    <row r="113" customFormat="false" ht="15" hidden="false" customHeight="true" outlineLevel="0" collapsed="false">
      <c r="A113" s="14" t="s">
        <v>517</v>
      </c>
      <c r="B113" s="14" t="s">
        <v>11</v>
      </c>
      <c r="C113" s="14" t="s">
        <v>518</v>
      </c>
      <c r="D113" s="14" t="s">
        <v>519</v>
      </c>
      <c r="E113" s="14" t="s">
        <v>5</v>
      </c>
      <c r="F113" s="14" t="s">
        <v>29</v>
      </c>
      <c r="G113" s="14" t="s">
        <v>61</v>
      </c>
      <c r="H113" s="14"/>
      <c r="I113" s="14" t="s">
        <v>520</v>
      </c>
      <c r="J113" s="14" t="s">
        <v>236</v>
      </c>
      <c r="K113" s="14" t="s">
        <v>47</v>
      </c>
    </row>
    <row r="114" customFormat="false" ht="15" hidden="false" customHeight="true" outlineLevel="0" collapsed="false">
      <c r="A114" s="14" t="s">
        <v>521</v>
      </c>
      <c r="B114" s="14" t="s">
        <v>11</v>
      </c>
      <c r="C114" s="14" t="s">
        <v>522</v>
      </c>
      <c r="D114" s="14" t="s">
        <v>523</v>
      </c>
      <c r="E114" s="14" t="s">
        <v>5</v>
      </c>
      <c r="F114" s="14" t="s">
        <v>29</v>
      </c>
      <c r="G114" s="14" t="s">
        <v>61</v>
      </c>
      <c r="H114" s="14"/>
      <c r="I114" s="14" t="s">
        <v>524</v>
      </c>
      <c r="J114" s="14" t="s">
        <v>236</v>
      </c>
      <c r="K114" s="14" t="s">
        <v>47</v>
      </c>
    </row>
    <row r="115" customFormat="false" ht="15" hidden="false" customHeight="true" outlineLevel="0" collapsed="false">
      <c r="A115" s="14" t="s">
        <v>525</v>
      </c>
      <c r="B115" s="14" t="s">
        <v>11</v>
      </c>
      <c r="C115" s="14" t="s">
        <v>526</v>
      </c>
      <c r="D115" s="14" t="s">
        <v>527</v>
      </c>
      <c r="E115" s="14" t="s">
        <v>5</v>
      </c>
      <c r="F115" s="14" t="s">
        <v>29</v>
      </c>
      <c r="G115" s="14" t="s">
        <v>61</v>
      </c>
      <c r="H115" s="14"/>
      <c r="I115" s="14" t="s">
        <v>528</v>
      </c>
      <c r="J115" s="14" t="s">
        <v>236</v>
      </c>
      <c r="K115" s="14" t="s">
        <v>47</v>
      </c>
    </row>
    <row r="116" customFormat="false" ht="15" hidden="false" customHeight="true" outlineLevel="0" collapsed="false">
      <c r="A116" s="14" t="s">
        <v>529</v>
      </c>
      <c r="B116" s="14" t="s">
        <v>11</v>
      </c>
      <c r="C116" s="14" t="s">
        <v>530</v>
      </c>
      <c r="D116" s="14" t="s">
        <v>531</v>
      </c>
      <c r="E116" s="14" t="s">
        <v>5</v>
      </c>
      <c r="F116" s="14" t="s">
        <v>29</v>
      </c>
      <c r="G116" s="14" t="s">
        <v>61</v>
      </c>
      <c r="H116" s="14"/>
      <c r="I116" s="14" t="s">
        <v>532</v>
      </c>
      <c r="J116" s="14" t="s">
        <v>236</v>
      </c>
      <c r="K116" s="14" t="s">
        <v>47</v>
      </c>
    </row>
    <row r="117" customFormat="false" ht="15" hidden="false" customHeight="true" outlineLevel="0" collapsed="false">
      <c r="A117" s="14" t="s">
        <v>533</v>
      </c>
      <c r="B117" s="14" t="s">
        <v>11</v>
      </c>
      <c r="C117" s="14" t="s">
        <v>534</v>
      </c>
      <c r="D117" s="14" t="s">
        <v>535</v>
      </c>
      <c r="E117" s="14" t="s">
        <v>5</v>
      </c>
      <c r="F117" s="14" t="s">
        <v>29</v>
      </c>
      <c r="G117" s="14" t="s">
        <v>61</v>
      </c>
      <c r="H117" s="14"/>
      <c r="I117" s="14" t="s">
        <v>536</v>
      </c>
      <c r="J117" s="14" t="s">
        <v>236</v>
      </c>
      <c r="K117" s="14" t="s">
        <v>47</v>
      </c>
    </row>
    <row r="118" customFormat="false" ht="15" hidden="false" customHeight="true" outlineLevel="0" collapsed="false">
      <c r="A118" s="14" t="s">
        <v>537</v>
      </c>
      <c r="B118" s="14" t="s">
        <v>11</v>
      </c>
      <c r="C118" s="14" t="s">
        <v>538</v>
      </c>
      <c r="D118" s="14" t="s">
        <v>539</v>
      </c>
      <c r="E118" s="14" t="s">
        <v>5</v>
      </c>
      <c r="F118" s="14" t="s">
        <v>29</v>
      </c>
      <c r="G118" s="14" t="s">
        <v>61</v>
      </c>
      <c r="H118" s="14"/>
      <c r="I118" s="14" t="s">
        <v>540</v>
      </c>
      <c r="J118" s="14" t="s">
        <v>236</v>
      </c>
      <c r="K118" s="14" t="s">
        <v>47</v>
      </c>
    </row>
    <row r="119" customFormat="false" ht="15" hidden="false" customHeight="true" outlineLevel="0" collapsed="false">
      <c r="A119" s="14" t="s">
        <v>541</v>
      </c>
      <c r="B119" s="14" t="s">
        <v>11</v>
      </c>
      <c r="C119" s="14" t="s">
        <v>542</v>
      </c>
      <c r="D119" s="14" t="s">
        <v>543</v>
      </c>
      <c r="E119" s="14" t="s">
        <v>5</v>
      </c>
      <c r="F119" s="14" t="s">
        <v>29</v>
      </c>
      <c r="G119" s="14" t="s">
        <v>61</v>
      </c>
      <c r="H119" s="14"/>
      <c r="I119" s="14" t="s">
        <v>544</v>
      </c>
      <c r="J119" s="14" t="s">
        <v>236</v>
      </c>
      <c r="K119" s="14" t="s">
        <v>47</v>
      </c>
    </row>
    <row r="120" customFormat="false" ht="15" hidden="false" customHeight="true" outlineLevel="0" collapsed="false">
      <c r="A120" s="14" t="s">
        <v>545</v>
      </c>
      <c r="B120" s="14" t="s">
        <v>11</v>
      </c>
      <c r="C120" s="14" t="s">
        <v>546</v>
      </c>
      <c r="D120" s="14" t="s">
        <v>547</v>
      </c>
      <c r="E120" s="14" t="s">
        <v>3</v>
      </c>
      <c r="F120" s="14" t="s">
        <v>27</v>
      </c>
      <c r="G120" s="14" t="s">
        <v>61</v>
      </c>
      <c r="H120" s="14"/>
      <c r="I120" s="14" t="s">
        <v>548</v>
      </c>
      <c r="J120" s="14" t="s">
        <v>488</v>
      </c>
      <c r="K120" s="14" t="s">
        <v>47</v>
      </c>
    </row>
    <row r="121" customFormat="false" ht="15" hidden="false" customHeight="true" outlineLevel="0" collapsed="false">
      <c r="A121" s="14" t="s">
        <v>549</v>
      </c>
      <c r="B121" s="14" t="s">
        <v>11</v>
      </c>
      <c r="C121" s="14" t="s">
        <v>550</v>
      </c>
      <c r="D121" s="14" t="s">
        <v>551</v>
      </c>
      <c r="E121" s="14" t="s">
        <v>5</v>
      </c>
      <c r="F121" s="14" t="s">
        <v>29</v>
      </c>
      <c r="G121" s="14" t="s">
        <v>61</v>
      </c>
      <c r="H121" s="14"/>
      <c r="I121" s="14" t="s">
        <v>552</v>
      </c>
      <c r="J121" s="14" t="s">
        <v>236</v>
      </c>
      <c r="K121" s="14" t="s">
        <v>47</v>
      </c>
    </row>
    <row r="122" customFormat="false" ht="15" hidden="false" customHeight="true" outlineLevel="0" collapsed="false">
      <c r="A122" s="14" t="s">
        <v>553</v>
      </c>
      <c r="B122" s="14" t="s">
        <v>11</v>
      </c>
      <c r="C122" s="14" t="s">
        <v>554</v>
      </c>
      <c r="D122" s="14" t="s">
        <v>555</v>
      </c>
      <c r="E122" s="14" t="s">
        <v>5</v>
      </c>
      <c r="F122" s="14" t="s">
        <v>29</v>
      </c>
      <c r="G122" s="14" t="s">
        <v>61</v>
      </c>
      <c r="H122" s="14"/>
      <c r="I122" s="14" t="s">
        <v>556</v>
      </c>
      <c r="J122" s="14" t="s">
        <v>236</v>
      </c>
      <c r="K122" s="14" t="s">
        <v>47</v>
      </c>
    </row>
    <row r="123" customFormat="false" ht="15" hidden="false" customHeight="true" outlineLevel="0" collapsed="false">
      <c r="A123" s="14" t="s">
        <v>557</v>
      </c>
      <c r="B123" s="14" t="s">
        <v>11</v>
      </c>
      <c r="C123" s="14" t="s">
        <v>558</v>
      </c>
      <c r="D123" s="14" t="s">
        <v>559</v>
      </c>
      <c r="E123" s="14" t="s">
        <v>5</v>
      </c>
      <c r="F123" s="14" t="s">
        <v>29</v>
      </c>
      <c r="G123" s="14" t="s">
        <v>61</v>
      </c>
      <c r="H123" s="14"/>
      <c r="I123" s="14" t="s">
        <v>560</v>
      </c>
      <c r="J123" s="14" t="s">
        <v>236</v>
      </c>
      <c r="K123" s="14" t="s">
        <v>47</v>
      </c>
    </row>
    <row r="124" customFormat="false" ht="15" hidden="false" customHeight="true" outlineLevel="0" collapsed="false">
      <c r="A124" s="14" t="s">
        <v>561</v>
      </c>
      <c r="B124" s="14" t="s">
        <v>11</v>
      </c>
      <c r="C124" s="14" t="s">
        <v>562</v>
      </c>
      <c r="D124" s="14" t="s">
        <v>563</v>
      </c>
      <c r="E124" s="14" t="s">
        <v>5</v>
      </c>
      <c r="F124" s="14" t="s">
        <v>29</v>
      </c>
      <c r="G124" s="14" t="s">
        <v>61</v>
      </c>
      <c r="H124" s="14"/>
      <c r="I124" s="14" t="s">
        <v>564</v>
      </c>
      <c r="J124" s="14" t="s">
        <v>236</v>
      </c>
      <c r="K124" s="14" t="s">
        <v>47</v>
      </c>
    </row>
    <row r="125" customFormat="false" ht="15" hidden="false" customHeight="true" outlineLevel="0" collapsed="false">
      <c r="A125" s="14" t="s">
        <v>565</v>
      </c>
      <c r="B125" s="14" t="s">
        <v>11</v>
      </c>
      <c r="C125" s="14" t="s">
        <v>566</v>
      </c>
      <c r="D125" s="14" t="s">
        <v>567</v>
      </c>
      <c r="E125" s="14" t="s">
        <v>5</v>
      </c>
      <c r="F125" s="14" t="s">
        <v>29</v>
      </c>
      <c r="G125" s="14" t="s">
        <v>61</v>
      </c>
      <c r="H125" s="14"/>
      <c r="I125" s="14" t="s">
        <v>568</v>
      </c>
      <c r="J125" s="14" t="s">
        <v>236</v>
      </c>
      <c r="K125" s="14" t="s">
        <v>47</v>
      </c>
    </row>
    <row r="126" customFormat="false" ht="15" hidden="false" customHeight="true" outlineLevel="0" collapsed="false">
      <c r="A126" s="14" t="s">
        <v>569</v>
      </c>
      <c r="B126" s="14" t="s">
        <v>11</v>
      </c>
      <c r="C126" s="14" t="s">
        <v>570</v>
      </c>
      <c r="D126" s="14" t="s">
        <v>571</v>
      </c>
      <c r="E126" s="14" t="s">
        <v>5</v>
      </c>
      <c r="F126" s="14" t="s">
        <v>29</v>
      </c>
      <c r="G126" s="14" t="s">
        <v>61</v>
      </c>
      <c r="H126" s="14"/>
      <c r="I126" s="14" t="s">
        <v>572</v>
      </c>
      <c r="J126" s="14" t="s">
        <v>236</v>
      </c>
      <c r="K126" s="14" t="s">
        <v>47</v>
      </c>
    </row>
    <row r="127" customFormat="false" ht="15" hidden="false" customHeight="true" outlineLevel="0" collapsed="false">
      <c r="A127" s="14" t="s">
        <v>573</v>
      </c>
      <c r="B127" s="14" t="s">
        <v>11</v>
      </c>
      <c r="C127" s="14" t="s">
        <v>574</v>
      </c>
      <c r="D127" s="14" t="s">
        <v>575</v>
      </c>
      <c r="E127" s="14" t="s">
        <v>5</v>
      </c>
      <c r="F127" s="14" t="s">
        <v>29</v>
      </c>
      <c r="G127" s="14" t="s">
        <v>61</v>
      </c>
      <c r="H127" s="14"/>
      <c r="I127" s="14" t="s">
        <v>576</v>
      </c>
      <c r="J127" s="14" t="s">
        <v>236</v>
      </c>
      <c r="K127" s="14" t="s">
        <v>47</v>
      </c>
    </row>
    <row r="128" customFormat="false" ht="15" hidden="false" customHeight="true" outlineLevel="0" collapsed="false">
      <c r="A128" s="14" t="s">
        <v>577</v>
      </c>
      <c r="B128" s="14" t="s">
        <v>11</v>
      </c>
      <c r="C128" s="14" t="s">
        <v>578</v>
      </c>
      <c r="D128" s="14" t="s">
        <v>579</v>
      </c>
      <c r="E128" s="14" t="s">
        <v>5</v>
      </c>
      <c r="F128" s="14" t="s">
        <v>29</v>
      </c>
      <c r="G128" s="14" t="s">
        <v>61</v>
      </c>
      <c r="H128" s="14"/>
      <c r="I128" s="14" t="s">
        <v>580</v>
      </c>
      <c r="J128" s="14" t="s">
        <v>236</v>
      </c>
      <c r="K128" s="14" t="s">
        <v>47</v>
      </c>
    </row>
    <row r="129" customFormat="false" ht="15" hidden="false" customHeight="true" outlineLevel="0" collapsed="false">
      <c r="A129" s="14" t="s">
        <v>581</v>
      </c>
      <c r="B129" s="14" t="s">
        <v>11</v>
      </c>
      <c r="C129" s="14" t="s">
        <v>582</v>
      </c>
      <c r="D129" s="14" t="s">
        <v>583</v>
      </c>
      <c r="E129" s="14" t="s">
        <v>5</v>
      </c>
      <c r="F129" s="14" t="s">
        <v>29</v>
      </c>
      <c r="G129" s="14" t="s">
        <v>61</v>
      </c>
      <c r="H129" s="14"/>
      <c r="I129" s="14" t="s">
        <v>584</v>
      </c>
      <c r="J129" s="14" t="s">
        <v>236</v>
      </c>
      <c r="K129" s="14" t="s">
        <v>47</v>
      </c>
    </row>
    <row r="130" customFormat="false" ht="15" hidden="false" customHeight="true" outlineLevel="0" collapsed="false">
      <c r="A130" s="14" t="s">
        <v>585</v>
      </c>
      <c r="B130" s="14" t="s">
        <v>11</v>
      </c>
      <c r="C130" s="14" t="s">
        <v>586</v>
      </c>
      <c r="D130" s="14" t="s">
        <v>587</v>
      </c>
      <c r="E130" s="14" t="s">
        <v>5</v>
      </c>
      <c r="F130" s="14" t="s">
        <v>29</v>
      </c>
      <c r="G130" s="14" t="s">
        <v>61</v>
      </c>
      <c r="H130" s="14"/>
      <c r="I130" s="14" t="s">
        <v>588</v>
      </c>
      <c r="J130" s="14" t="s">
        <v>236</v>
      </c>
      <c r="K130" s="14" t="s">
        <v>47</v>
      </c>
    </row>
    <row r="131" customFormat="false" ht="15" hidden="false" customHeight="true" outlineLevel="0" collapsed="false">
      <c r="A131" s="14" t="s">
        <v>589</v>
      </c>
      <c r="B131" s="14" t="s">
        <v>11</v>
      </c>
      <c r="C131" s="14" t="s">
        <v>590</v>
      </c>
      <c r="D131" s="14" t="s">
        <v>591</v>
      </c>
      <c r="E131" s="14" t="s">
        <v>5</v>
      </c>
      <c r="F131" s="14" t="s">
        <v>29</v>
      </c>
      <c r="G131" s="14" t="s">
        <v>61</v>
      </c>
      <c r="H131" s="14"/>
      <c r="I131" s="14" t="s">
        <v>592</v>
      </c>
      <c r="J131" s="14" t="s">
        <v>236</v>
      </c>
      <c r="K131" s="14" t="s">
        <v>47</v>
      </c>
    </row>
    <row r="132" customFormat="false" ht="15" hidden="false" customHeight="true" outlineLevel="0" collapsed="false">
      <c r="A132" s="14" t="s">
        <v>593</v>
      </c>
      <c r="B132" s="14" t="s">
        <v>12</v>
      </c>
      <c r="C132" s="14" t="s">
        <v>594</v>
      </c>
      <c r="D132" s="14" t="s">
        <v>595</v>
      </c>
      <c r="E132" s="14" t="s">
        <v>5</v>
      </c>
      <c r="F132" s="14" t="s">
        <v>29</v>
      </c>
      <c r="G132" s="14" t="s">
        <v>45</v>
      </c>
      <c r="H132" s="14"/>
      <c r="I132" s="14" t="s">
        <v>596</v>
      </c>
      <c r="J132" s="14" t="s">
        <v>597</v>
      </c>
      <c r="K132" s="14" t="s">
        <v>47</v>
      </c>
    </row>
    <row r="133" customFormat="false" ht="15" hidden="false" customHeight="true" outlineLevel="0" collapsed="false">
      <c r="A133" s="14" t="s">
        <v>598</v>
      </c>
      <c r="B133" s="14" t="s">
        <v>12</v>
      </c>
      <c r="C133" s="14" t="s">
        <v>599</v>
      </c>
      <c r="D133" s="14" t="s">
        <v>600</v>
      </c>
      <c r="E133" s="14" t="s">
        <v>5</v>
      </c>
      <c r="F133" s="14" t="s">
        <v>29</v>
      </c>
      <c r="G133" s="14" t="s">
        <v>45</v>
      </c>
      <c r="H133" s="14"/>
      <c r="I133" s="14" t="s">
        <v>601</v>
      </c>
      <c r="J133" s="14" t="s">
        <v>597</v>
      </c>
      <c r="K133" s="14" t="s">
        <v>47</v>
      </c>
    </row>
    <row r="134" customFormat="false" ht="15" hidden="false" customHeight="true" outlineLevel="0" collapsed="false">
      <c r="A134" s="14" t="s">
        <v>602</v>
      </c>
      <c r="B134" s="14" t="s">
        <v>12</v>
      </c>
      <c r="C134" s="14" t="s">
        <v>603</v>
      </c>
      <c r="D134" s="14" t="s">
        <v>604</v>
      </c>
      <c r="E134" s="14" t="s">
        <v>5</v>
      </c>
      <c r="F134" s="14" t="s">
        <v>29</v>
      </c>
      <c r="G134" s="14" t="s">
        <v>45</v>
      </c>
      <c r="H134" s="14"/>
      <c r="I134" s="14" t="s">
        <v>605</v>
      </c>
      <c r="J134" s="14" t="s">
        <v>597</v>
      </c>
      <c r="K134" s="14" t="s">
        <v>47</v>
      </c>
    </row>
    <row r="135" customFormat="false" ht="15" hidden="false" customHeight="true" outlineLevel="0" collapsed="false">
      <c r="A135" s="14" t="s">
        <v>606</v>
      </c>
      <c r="B135" s="14" t="s">
        <v>12</v>
      </c>
      <c r="C135" s="14" t="s">
        <v>607</v>
      </c>
      <c r="D135" s="14" t="s">
        <v>608</v>
      </c>
      <c r="E135" s="14" t="s">
        <v>5</v>
      </c>
      <c r="F135" s="14" t="s">
        <v>29</v>
      </c>
      <c r="G135" s="14" t="s">
        <v>45</v>
      </c>
      <c r="H135" s="14"/>
      <c r="I135" s="14" t="s">
        <v>609</v>
      </c>
      <c r="J135" s="14" t="s">
        <v>597</v>
      </c>
      <c r="K135" s="14" t="s">
        <v>47</v>
      </c>
    </row>
    <row r="136" customFormat="false" ht="15" hidden="false" customHeight="true" outlineLevel="0" collapsed="false">
      <c r="A136" s="14" t="s">
        <v>610</v>
      </c>
      <c r="B136" s="14" t="s">
        <v>12</v>
      </c>
      <c r="C136" s="14" t="s">
        <v>611</v>
      </c>
      <c r="D136" s="14" t="s">
        <v>612</v>
      </c>
      <c r="E136" s="14" t="s">
        <v>5</v>
      </c>
      <c r="F136" s="14" t="s">
        <v>29</v>
      </c>
      <c r="G136" s="14" t="s">
        <v>45</v>
      </c>
      <c r="H136" s="14"/>
      <c r="I136" s="14" t="s">
        <v>613</v>
      </c>
      <c r="J136" s="14" t="s">
        <v>597</v>
      </c>
      <c r="K136" s="14" t="s">
        <v>47</v>
      </c>
    </row>
    <row r="137" customFormat="false" ht="15" hidden="false" customHeight="true" outlineLevel="0" collapsed="false">
      <c r="A137" s="14" t="s">
        <v>614</v>
      </c>
      <c r="B137" s="14" t="s">
        <v>12</v>
      </c>
      <c r="C137" s="14" t="s">
        <v>615</v>
      </c>
      <c r="D137" s="14" t="s">
        <v>616</v>
      </c>
      <c r="E137" s="14" t="s">
        <v>5</v>
      </c>
      <c r="F137" s="14" t="s">
        <v>29</v>
      </c>
      <c r="G137" s="14" t="s">
        <v>45</v>
      </c>
      <c r="H137" s="14"/>
      <c r="I137" s="14" t="s">
        <v>617</v>
      </c>
      <c r="J137" s="14" t="s">
        <v>597</v>
      </c>
      <c r="K137" s="14" t="s">
        <v>47</v>
      </c>
    </row>
    <row r="138" customFormat="false" ht="15" hidden="false" customHeight="true" outlineLevel="0" collapsed="false">
      <c r="A138" s="14" t="s">
        <v>618</v>
      </c>
      <c r="B138" s="14" t="s">
        <v>12</v>
      </c>
      <c r="C138" s="14" t="s">
        <v>619</v>
      </c>
      <c r="D138" s="14" t="s">
        <v>620</v>
      </c>
      <c r="E138" s="14" t="s">
        <v>5</v>
      </c>
      <c r="F138" s="14" t="s">
        <v>29</v>
      </c>
      <c r="G138" s="14" t="s">
        <v>45</v>
      </c>
      <c r="H138" s="14"/>
      <c r="I138" s="14" t="s">
        <v>621</v>
      </c>
      <c r="J138" s="14" t="s">
        <v>597</v>
      </c>
      <c r="K138" s="14" t="s">
        <v>47</v>
      </c>
    </row>
    <row r="139" customFormat="false" ht="15" hidden="false" customHeight="true" outlineLevel="0" collapsed="false">
      <c r="A139" s="14" t="s">
        <v>622</v>
      </c>
      <c r="B139" s="14" t="s">
        <v>12</v>
      </c>
      <c r="C139" s="14" t="s">
        <v>623</v>
      </c>
      <c r="D139" s="14" t="s">
        <v>624</v>
      </c>
      <c r="E139" s="14" t="s">
        <v>5</v>
      </c>
      <c r="F139" s="14" t="s">
        <v>29</v>
      </c>
      <c r="G139" s="14" t="s">
        <v>45</v>
      </c>
      <c r="H139" s="14"/>
      <c r="I139" s="14" t="s">
        <v>625</v>
      </c>
      <c r="J139" s="14" t="s">
        <v>597</v>
      </c>
      <c r="K139" s="14" t="s">
        <v>47</v>
      </c>
    </row>
    <row r="140" customFormat="false" ht="15" hidden="false" customHeight="true" outlineLevel="0" collapsed="false">
      <c r="A140" s="14" t="s">
        <v>626</v>
      </c>
      <c r="B140" s="14" t="s">
        <v>12</v>
      </c>
      <c r="C140" s="14" t="s">
        <v>627</v>
      </c>
      <c r="D140" s="14" t="s">
        <v>628</v>
      </c>
      <c r="E140" s="14" t="s">
        <v>5</v>
      </c>
      <c r="F140" s="14" t="s">
        <v>29</v>
      </c>
      <c r="G140" s="14" t="s">
        <v>45</v>
      </c>
      <c r="H140" s="14"/>
      <c r="I140" s="14" t="s">
        <v>629</v>
      </c>
      <c r="J140" s="14" t="s">
        <v>597</v>
      </c>
      <c r="K140" s="14" t="s">
        <v>47</v>
      </c>
    </row>
    <row r="141" customFormat="false" ht="15" hidden="false" customHeight="true" outlineLevel="0" collapsed="false">
      <c r="A141" s="14" t="s">
        <v>630</v>
      </c>
      <c r="B141" s="14" t="s">
        <v>12</v>
      </c>
      <c r="C141" s="14" t="s">
        <v>631</v>
      </c>
      <c r="D141" s="14" t="s">
        <v>632</v>
      </c>
      <c r="E141" s="14" t="s">
        <v>5</v>
      </c>
      <c r="F141" s="14" t="s">
        <v>29</v>
      </c>
      <c r="G141" s="14" t="s">
        <v>45</v>
      </c>
      <c r="H141" s="14"/>
      <c r="I141" s="14" t="s">
        <v>633</v>
      </c>
      <c r="J141" s="14" t="s">
        <v>597</v>
      </c>
      <c r="K141" s="14" t="s">
        <v>47</v>
      </c>
    </row>
    <row r="142" customFormat="false" ht="15" hidden="false" customHeight="true" outlineLevel="0" collapsed="false">
      <c r="A142" s="14" t="s">
        <v>634</v>
      </c>
      <c r="B142" s="14" t="s">
        <v>12</v>
      </c>
      <c r="C142" s="14" t="s">
        <v>635</v>
      </c>
      <c r="D142" s="14" t="s">
        <v>636</v>
      </c>
      <c r="E142" s="14" t="s">
        <v>5</v>
      </c>
      <c r="F142" s="14" t="s">
        <v>29</v>
      </c>
      <c r="G142" s="14" t="s">
        <v>45</v>
      </c>
      <c r="H142" s="14"/>
      <c r="I142" s="14" t="s">
        <v>637</v>
      </c>
      <c r="J142" s="14" t="s">
        <v>597</v>
      </c>
      <c r="K142" s="14" t="s">
        <v>47</v>
      </c>
    </row>
    <row r="143" customFormat="false" ht="15" hidden="false" customHeight="true" outlineLevel="0" collapsed="false">
      <c r="A143" s="14" t="s">
        <v>638</v>
      </c>
      <c r="B143" s="14" t="s">
        <v>12</v>
      </c>
      <c r="C143" s="14" t="s">
        <v>639</v>
      </c>
      <c r="D143" s="14" t="s">
        <v>640</v>
      </c>
      <c r="E143" s="14" t="s">
        <v>5</v>
      </c>
      <c r="F143" s="14" t="s">
        <v>29</v>
      </c>
      <c r="G143" s="14" t="s">
        <v>45</v>
      </c>
      <c r="H143" s="14"/>
      <c r="I143" s="14" t="s">
        <v>641</v>
      </c>
      <c r="J143" s="14" t="s">
        <v>597</v>
      </c>
      <c r="K143" s="14" t="s">
        <v>47</v>
      </c>
    </row>
    <row r="144" customFormat="false" ht="15" hidden="false" customHeight="true" outlineLevel="0" collapsed="false">
      <c r="A144" s="14" t="s">
        <v>642</v>
      </c>
      <c r="B144" s="14" t="s">
        <v>12</v>
      </c>
      <c r="C144" s="14" t="s">
        <v>643</v>
      </c>
      <c r="D144" s="14" t="s">
        <v>644</v>
      </c>
      <c r="E144" s="14" t="s">
        <v>5</v>
      </c>
      <c r="F144" s="14" t="s">
        <v>29</v>
      </c>
      <c r="G144" s="14" t="s">
        <v>45</v>
      </c>
      <c r="H144" s="14"/>
      <c r="I144" s="14" t="s">
        <v>645</v>
      </c>
      <c r="J144" s="14" t="s">
        <v>597</v>
      </c>
      <c r="K144" s="14" t="s">
        <v>47</v>
      </c>
    </row>
    <row r="145" customFormat="false" ht="15" hidden="false" customHeight="true" outlineLevel="0" collapsed="false">
      <c r="A145" s="14" t="s">
        <v>646</v>
      </c>
      <c r="B145" s="14" t="s">
        <v>12</v>
      </c>
      <c r="C145" s="14" t="s">
        <v>647</v>
      </c>
      <c r="D145" s="14" t="s">
        <v>648</v>
      </c>
      <c r="E145" s="14" t="s">
        <v>5</v>
      </c>
      <c r="F145" s="14" t="s">
        <v>29</v>
      </c>
      <c r="G145" s="14" t="s">
        <v>45</v>
      </c>
      <c r="H145" s="14"/>
      <c r="I145" s="14" t="s">
        <v>649</v>
      </c>
      <c r="J145" s="14" t="s">
        <v>597</v>
      </c>
      <c r="K145" s="14" t="s">
        <v>47</v>
      </c>
    </row>
    <row r="146" customFormat="false" ht="15" hidden="false" customHeight="true" outlineLevel="0" collapsed="false">
      <c r="A146" s="14" t="s">
        <v>650</v>
      </c>
      <c r="B146" s="14" t="s">
        <v>12</v>
      </c>
      <c r="C146" s="14" t="s">
        <v>651</v>
      </c>
      <c r="D146" s="14" t="s">
        <v>652</v>
      </c>
      <c r="E146" s="14" t="s">
        <v>5</v>
      </c>
      <c r="F146" s="14" t="s">
        <v>29</v>
      </c>
      <c r="G146" s="14" t="s">
        <v>45</v>
      </c>
      <c r="H146" s="14"/>
      <c r="I146" s="14" t="s">
        <v>653</v>
      </c>
      <c r="J146" s="14" t="s">
        <v>597</v>
      </c>
      <c r="K146" s="14" t="s">
        <v>47</v>
      </c>
    </row>
    <row r="147" customFormat="false" ht="15" hidden="false" customHeight="true" outlineLevel="0" collapsed="false">
      <c r="A147" s="14" t="s">
        <v>654</v>
      </c>
      <c r="B147" s="14" t="s">
        <v>12</v>
      </c>
      <c r="C147" s="14" t="s">
        <v>655</v>
      </c>
      <c r="D147" s="14" t="s">
        <v>656</v>
      </c>
      <c r="E147" s="14" t="s">
        <v>5</v>
      </c>
      <c r="F147" s="14" t="s">
        <v>29</v>
      </c>
      <c r="G147" s="14" t="s">
        <v>61</v>
      </c>
      <c r="H147" s="14"/>
      <c r="I147" s="14" t="s">
        <v>657</v>
      </c>
      <c r="J147" s="14"/>
      <c r="K147" s="14" t="s">
        <v>47</v>
      </c>
    </row>
    <row r="148" customFormat="false" ht="15" hidden="false" customHeight="true" outlineLevel="0" collapsed="false">
      <c r="A148" s="14" t="s">
        <v>658</v>
      </c>
      <c r="B148" s="14" t="s">
        <v>12</v>
      </c>
      <c r="C148" s="14" t="s">
        <v>659</v>
      </c>
      <c r="D148" s="14" t="s">
        <v>660</v>
      </c>
      <c r="E148" s="14" t="s">
        <v>5</v>
      </c>
      <c r="F148" s="14" t="s">
        <v>29</v>
      </c>
      <c r="G148" s="14" t="s">
        <v>61</v>
      </c>
      <c r="H148" s="14"/>
      <c r="I148" s="14" t="s">
        <v>661</v>
      </c>
      <c r="J148" s="14"/>
      <c r="K148" s="14" t="s">
        <v>47</v>
      </c>
    </row>
    <row r="149" customFormat="false" ht="15" hidden="false" customHeight="true" outlineLevel="0" collapsed="false">
      <c r="A149" s="14" t="s">
        <v>662</v>
      </c>
      <c r="B149" s="14" t="s">
        <v>12</v>
      </c>
      <c r="C149" s="14" t="s">
        <v>663</v>
      </c>
      <c r="D149" s="14" t="s">
        <v>664</v>
      </c>
      <c r="E149" s="14" t="s">
        <v>5</v>
      </c>
      <c r="F149" s="14" t="s">
        <v>29</v>
      </c>
      <c r="G149" s="14" t="s">
        <v>61</v>
      </c>
      <c r="H149" s="14"/>
      <c r="I149" s="14" t="s">
        <v>665</v>
      </c>
      <c r="J149" s="14"/>
      <c r="K149" s="14" t="s">
        <v>47</v>
      </c>
    </row>
    <row r="150" customFormat="false" ht="15" hidden="false" customHeight="true" outlineLevel="0" collapsed="false">
      <c r="A150" s="14" t="s">
        <v>666</v>
      </c>
      <c r="B150" s="14" t="s">
        <v>12</v>
      </c>
      <c r="C150" s="14" t="s">
        <v>667</v>
      </c>
      <c r="D150" s="14" t="s">
        <v>668</v>
      </c>
      <c r="E150" s="14" t="s">
        <v>5</v>
      </c>
      <c r="F150" s="14" t="s">
        <v>29</v>
      </c>
      <c r="G150" s="14" t="s">
        <v>61</v>
      </c>
      <c r="H150" s="14"/>
      <c r="I150" s="14" t="s">
        <v>669</v>
      </c>
      <c r="J150" s="14"/>
      <c r="K150" s="14" t="s">
        <v>47</v>
      </c>
    </row>
    <row r="151" customFormat="false" ht="15" hidden="false" customHeight="true" outlineLevel="0" collapsed="false">
      <c r="A151" s="14" t="s">
        <v>670</v>
      </c>
      <c r="B151" s="14" t="s">
        <v>12</v>
      </c>
      <c r="C151" s="14" t="s">
        <v>671</v>
      </c>
      <c r="D151" s="14" t="s">
        <v>672</v>
      </c>
      <c r="E151" s="14" t="s">
        <v>5</v>
      </c>
      <c r="F151" s="14" t="s">
        <v>29</v>
      </c>
      <c r="G151" s="14" t="s">
        <v>61</v>
      </c>
      <c r="H151" s="14"/>
      <c r="I151" s="14" t="s">
        <v>673</v>
      </c>
      <c r="J151" s="14"/>
      <c r="K151" s="14" t="s">
        <v>47</v>
      </c>
    </row>
    <row r="152" customFormat="false" ht="15" hidden="false" customHeight="true" outlineLevel="0" collapsed="false">
      <c r="A152" s="14" t="s">
        <v>674</v>
      </c>
      <c r="B152" s="14" t="s">
        <v>12</v>
      </c>
      <c r="C152" s="14" t="s">
        <v>675</v>
      </c>
      <c r="D152" s="14" t="s">
        <v>676</v>
      </c>
      <c r="E152" s="14" t="s">
        <v>5</v>
      </c>
      <c r="F152" s="14" t="s">
        <v>29</v>
      </c>
      <c r="G152" s="14" t="s">
        <v>45</v>
      </c>
      <c r="H152" s="14"/>
      <c r="I152" s="14" t="s">
        <v>677</v>
      </c>
      <c r="J152" s="14"/>
      <c r="K152" s="14" t="s">
        <v>47</v>
      </c>
    </row>
    <row r="153" customFormat="false" ht="15" hidden="false" customHeight="true" outlineLevel="0" collapsed="false">
      <c r="A153" s="14" t="s">
        <v>678</v>
      </c>
      <c r="B153" s="14" t="s">
        <v>12</v>
      </c>
      <c r="C153" s="14" t="s">
        <v>679</v>
      </c>
      <c r="D153" s="14" t="s">
        <v>680</v>
      </c>
      <c r="E153" s="14" t="s">
        <v>5</v>
      </c>
      <c r="F153" s="14" t="s">
        <v>29</v>
      </c>
      <c r="G153" s="14" t="s">
        <v>45</v>
      </c>
      <c r="H153" s="14"/>
      <c r="I153" s="14" t="s">
        <v>681</v>
      </c>
      <c r="J153" s="14"/>
      <c r="K153" s="14" t="s">
        <v>47</v>
      </c>
    </row>
    <row r="154" customFormat="false" ht="15" hidden="false" customHeight="true" outlineLevel="0" collapsed="false">
      <c r="A154" s="14" t="s">
        <v>682</v>
      </c>
      <c r="B154" s="14" t="s">
        <v>12</v>
      </c>
      <c r="C154" s="14" t="s">
        <v>683</v>
      </c>
      <c r="D154" s="14" t="s">
        <v>684</v>
      </c>
      <c r="E154" s="14" t="s">
        <v>5</v>
      </c>
      <c r="F154" s="14" t="s">
        <v>29</v>
      </c>
      <c r="G154" s="14" t="s">
        <v>45</v>
      </c>
      <c r="H154" s="14"/>
      <c r="I154" s="14" t="s">
        <v>685</v>
      </c>
      <c r="J154" s="14"/>
      <c r="K154" s="14" t="s">
        <v>47</v>
      </c>
    </row>
    <row r="155" customFormat="false" ht="15" hidden="false" customHeight="true" outlineLevel="0" collapsed="false">
      <c r="A155" s="14" t="s">
        <v>686</v>
      </c>
      <c r="B155" s="14" t="s">
        <v>12</v>
      </c>
      <c r="C155" s="14" t="s">
        <v>687</v>
      </c>
      <c r="D155" s="14" t="s">
        <v>688</v>
      </c>
      <c r="E155" s="14" t="s">
        <v>5</v>
      </c>
      <c r="F155" s="14" t="s">
        <v>29</v>
      </c>
      <c r="G155" s="14" t="s">
        <v>45</v>
      </c>
      <c r="H155" s="14"/>
      <c r="I155" s="14" t="s">
        <v>689</v>
      </c>
      <c r="J155" s="14"/>
      <c r="K155" s="14" t="s">
        <v>47</v>
      </c>
    </row>
    <row r="156" customFormat="false" ht="15" hidden="false" customHeight="true" outlineLevel="0" collapsed="false">
      <c r="A156" s="14" t="s">
        <v>690</v>
      </c>
      <c r="B156" s="14" t="s">
        <v>12</v>
      </c>
      <c r="C156" s="14" t="s">
        <v>691</v>
      </c>
      <c r="D156" s="14" t="s">
        <v>692</v>
      </c>
      <c r="E156" s="14" t="s">
        <v>5</v>
      </c>
      <c r="F156" s="14" t="s">
        <v>29</v>
      </c>
      <c r="G156" s="14" t="s">
        <v>45</v>
      </c>
      <c r="H156" s="14"/>
      <c r="I156" s="14" t="s">
        <v>693</v>
      </c>
      <c r="J156" s="14"/>
      <c r="K156" s="14" t="s">
        <v>47</v>
      </c>
    </row>
    <row r="157" customFormat="false" ht="15" hidden="false" customHeight="true" outlineLevel="0" collapsed="false">
      <c r="A157" s="14" t="s">
        <v>694</v>
      </c>
      <c r="B157" s="14" t="s">
        <v>12</v>
      </c>
      <c r="C157" s="14" t="s">
        <v>695</v>
      </c>
      <c r="D157" s="14" t="s">
        <v>696</v>
      </c>
      <c r="E157" s="14" t="s">
        <v>5</v>
      </c>
      <c r="F157" s="14" t="s">
        <v>29</v>
      </c>
      <c r="G157" s="14" t="s">
        <v>45</v>
      </c>
      <c r="H157" s="14"/>
      <c r="I157" s="14" t="s">
        <v>697</v>
      </c>
      <c r="J157" s="14"/>
      <c r="K157" s="14" t="s">
        <v>47</v>
      </c>
    </row>
    <row r="158" customFormat="false" ht="15" hidden="false" customHeight="true" outlineLevel="0" collapsed="false">
      <c r="A158" s="14" t="s">
        <v>698</v>
      </c>
      <c r="B158" s="14" t="s">
        <v>12</v>
      </c>
      <c r="C158" s="14" t="s">
        <v>699</v>
      </c>
      <c r="D158" s="14" t="s">
        <v>700</v>
      </c>
      <c r="E158" s="14" t="s">
        <v>5</v>
      </c>
      <c r="F158" s="14" t="s">
        <v>29</v>
      </c>
      <c r="G158" s="14" t="s">
        <v>45</v>
      </c>
      <c r="H158" s="14"/>
      <c r="I158" s="14" t="s">
        <v>701</v>
      </c>
      <c r="J158" s="14"/>
      <c r="K158" s="14" t="s">
        <v>47</v>
      </c>
    </row>
    <row r="159" customFormat="false" ht="15" hidden="false" customHeight="true" outlineLevel="0" collapsed="false">
      <c r="A159" s="14" t="s">
        <v>702</v>
      </c>
      <c r="B159" s="14" t="s">
        <v>12</v>
      </c>
      <c r="C159" s="14" t="s">
        <v>703</v>
      </c>
      <c r="D159" s="14" t="s">
        <v>704</v>
      </c>
      <c r="E159" s="14" t="s">
        <v>5</v>
      </c>
      <c r="F159" s="14" t="s">
        <v>29</v>
      </c>
      <c r="G159" s="14" t="s">
        <v>45</v>
      </c>
      <c r="H159" s="14"/>
      <c r="I159" s="14" t="s">
        <v>705</v>
      </c>
      <c r="J159" s="14"/>
      <c r="K159" s="14" t="s">
        <v>47</v>
      </c>
    </row>
    <row r="160" customFormat="false" ht="15" hidden="false" customHeight="true" outlineLevel="0" collapsed="false">
      <c r="A160" s="14" t="s">
        <v>706</v>
      </c>
      <c r="B160" s="14" t="s">
        <v>12</v>
      </c>
      <c r="C160" s="14" t="s">
        <v>707</v>
      </c>
      <c r="D160" s="14" t="s">
        <v>708</v>
      </c>
      <c r="E160" s="14" t="s">
        <v>5</v>
      </c>
      <c r="F160" s="14" t="s">
        <v>29</v>
      </c>
      <c r="G160" s="14" t="s">
        <v>45</v>
      </c>
      <c r="H160" s="14"/>
      <c r="I160" s="14" t="s">
        <v>709</v>
      </c>
      <c r="J160" s="14"/>
      <c r="K160" s="14" t="s">
        <v>47</v>
      </c>
    </row>
    <row r="161" customFormat="false" ht="15" hidden="false" customHeight="true" outlineLevel="0" collapsed="false">
      <c r="A161" s="14" t="s">
        <v>710</v>
      </c>
      <c r="B161" s="14" t="s">
        <v>12</v>
      </c>
      <c r="C161" s="14" t="s">
        <v>711</v>
      </c>
      <c r="D161" s="14" t="s">
        <v>712</v>
      </c>
      <c r="E161" s="14" t="s">
        <v>5</v>
      </c>
      <c r="F161" s="14" t="s">
        <v>29</v>
      </c>
      <c r="G161" s="14" t="s">
        <v>45</v>
      </c>
      <c r="H161" s="14"/>
      <c r="I161" s="14" t="s">
        <v>713</v>
      </c>
      <c r="J161" s="14"/>
      <c r="K161" s="14" t="s">
        <v>47</v>
      </c>
    </row>
    <row r="162" customFormat="false" ht="15" hidden="false" customHeight="true" outlineLevel="0" collapsed="false">
      <c r="A162" s="14" t="s">
        <v>714</v>
      </c>
      <c r="B162" s="14" t="s">
        <v>12</v>
      </c>
      <c r="C162" s="14" t="s">
        <v>715</v>
      </c>
      <c r="D162" s="14" t="s">
        <v>716</v>
      </c>
      <c r="E162" s="14" t="s">
        <v>5</v>
      </c>
      <c r="F162" s="14" t="s">
        <v>29</v>
      </c>
      <c r="G162" s="14" t="s">
        <v>45</v>
      </c>
      <c r="H162" s="14"/>
      <c r="I162" s="14" t="s">
        <v>717</v>
      </c>
      <c r="J162" s="14"/>
      <c r="K162" s="14" t="s">
        <v>47</v>
      </c>
    </row>
    <row r="163" customFormat="false" ht="15" hidden="false" customHeight="true" outlineLevel="0" collapsed="false">
      <c r="A163" s="14" t="s">
        <v>718</v>
      </c>
      <c r="B163" s="14" t="s">
        <v>12</v>
      </c>
      <c r="C163" s="14" t="s">
        <v>719</v>
      </c>
      <c r="D163" s="14" t="s">
        <v>720</v>
      </c>
      <c r="E163" s="14" t="s">
        <v>5</v>
      </c>
      <c r="F163" s="14" t="s">
        <v>29</v>
      </c>
      <c r="G163" s="14" t="s">
        <v>45</v>
      </c>
      <c r="H163" s="14"/>
      <c r="I163" s="14" t="s">
        <v>721</v>
      </c>
      <c r="J163" s="14"/>
      <c r="K163" s="14" t="s">
        <v>47</v>
      </c>
    </row>
    <row r="164" customFormat="false" ht="15" hidden="false" customHeight="true" outlineLevel="0" collapsed="false">
      <c r="A164" s="14" t="s">
        <v>722</v>
      </c>
      <c r="B164" s="14" t="s">
        <v>12</v>
      </c>
      <c r="C164" s="14" t="s">
        <v>723</v>
      </c>
      <c r="D164" s="14" t="s">
        <v>724</v>
      </c>
      <c r="E164" s="14" t="s">
        <v>5</v>
      </c>
      <c r="F164" s="14" t="s">
        <v>29</v>
      </c>
      <c r="G164" s="14" t="s">
        <v>45</v>
      </c>
      <c r="H164" s="14"/>
      <c r="I164" s="14" t="s">
        <v>725</v>
      </c>
      <c r="J164" s="14"/>
      <c r="K164" s="14" t="s">
        <v>47</v>
      </c>
    </row>
    <row r="165" customFormat="false" ht="15" hidden="false" customHeight="true" outlineLevel="0" collapsed="false">
      <c r="A165" s="14" t="s">
        <v>726</v>
      </c>
      <c r="B165" s="14" t="s">
        <v>12</v>
      </c>
      <c r="C165" s="14" t="s">
        <v>727</v>
      </c>
      <c r="D165" s="14" t="s">
        <v>728</v>
      </c>
      <c r="E165" s="14" t="s">
        <v>5</v>
      </c>
      <c r="F165" s="14" t="s">
        <v>29</v>
      </c>
      <c r="G165" s="14" t="s">
        <v>45</v>
      </c>
      <c r="H165" s="14"/>
      <c r="I165" s="14" t="s">
        <v>729</v>
      </c>
      <c r="J165" s="14"/>
      <c r="K165" s="14" t="s">
        <v>47</v>
      </c>
    </row>
    <row r="166" customFormat="false" ht="15" hidden="false" customHeight="true" outlineLevel="0" collapsed="false">
      <c r="A166" s="14" t="s">
        <v>730</v>
      </c>
      <c r="B166" s="14" t="s">
        <v>12</v>
      </c>
      <c r="C166" s="14" t="s">
        <v>731</v>
      </c>
      <c r="D166" s="14" t="s">
        <v>732</v>
      </c>
      <c r="E166" s="14" t="s">
        <v>5</v>
      </c>
      <c r="F166" s="14" t="s">
        <v>29</v>
      </c>
      <c r="G166" s="14" t="s">
        <v>45</v>
      </c>
      <c r="H166" s="14"/>
      <c r="I166" s="14" t="s">
        <v>733</v>
      </c>
      <c r="J166" s="14"/>
      <c r="K166" s="14" t="s">
        <v>47</v>
      </c>
    </row>
    <row r="167" customFormat="false" ht="15" hidden="false" customHeight="true" outlineLevel="0" collapsed="false">
      <c r="A167" s="14" t="s">
        <v>734</v>
      </c>
      <c r="B167" s="14" t="s">
        <v>12</v>
      </c>
      <c r="C167" s="14" t="s">
        <v>735</v>
      </c>
      <c r="D167" s="14" t="s">
        <v>736</v>
      </c>
      <c r="E167" s="14" t="s">
        <v>5</v>
      </c>
      <c r="F167" s="14" t="s">
        <v>29</v>
      </c>
      <c r="G167" s="14" t="s">
        <v>45</v>
      </c>
      <c r="H167" s="14"/>
      <c r="I167" s="14" t="s">
        <v>737</v>
      </c>
      <c r="J167" s="14"/>
      <c r="K167" s="14" t="s">
        <v>47</v>
      </c>
    </row>
    <row r="168" customFormat="false" ht="15" hidden="false" customHeight="true" outlineLevel="0" collapsed="false">
      <c r="A168" s="14" t="s">
        <v>738</v>
      </c>
      <c r="B168" s="14" t="s">
        <v>12</v>
      </c>
      <c r="C168" s="14" t="s">
        <v>739</v>
      </c>
      <c r="D168" s="14" t="s">
        <v>740</v>
      </c>
      <c r="E168" s="14" t="s">
        <v>5</v>
      </c>
      <c r="F168" s="14" t="s">
        <v>29</v>
      </c>
      <c r="G168" s="14" t="s">
        <v>45</v>
      </c>
      <c r="H168" s="14"/>
      <c r="I168" s="14" t="s">
        <v>741</v>
      </c>
      <c r="J168" s="14"/>
      <c r="K168" s="14" t="s">
        <v>47</v>
      </c>
    </row>
    <row r="169" customFormat="false" ht="15" hidden="false" customHeight="true" outlineLevel="0" collapsed="false">
      <c r="A169" s="14" t="s">
        <v>742</v>
      </c>
      <c r="B169" s="14" t="s">
        <v>12</v>
      </c>
      <c r="C169" s="14" t="s">
        <v>743</v>
      </c>
      <c r="D169" s="14" t="s">
        <v>744</v>
      </c>
      <c r="E169" s="14" t="s">
        <v>5</v>
      </c>
      <c r="F169" s="14" t="s">
        <v>29</v>
      </c>
      <c r="G169" s="14" t="s">
        <v>45</v>
      </c>
      <c r="H169" s="14"/>
      <c r="I169" s="14" t="s">
        <v>745</v>
      </c>
      <c r="J169" s="14"/>
      <c r="K169" s="14" t="s">
        <v>47</v>
      </c>
    </row>
    <row r="170" customFormat="false" ht="15" hidden="false" customHeight="true" outlineLevel="0" collapsed="false">
      <c r="A170" s="14" t="s">
        <v>746</v>
      </c>
      <c r="B170" s="14" t="s">
        <v>12</v>
      </c>
      <c r="C170" s="14" t="s">
        <v>747</v>
      </c>
      <c r="D170" s="14" t="s">
        <v>748</v>
      </c>
      <c r="E170" s="14" t="s">
        <v>5</v>
      </c>
      <c r="F170" s="14" t="s">
        <v>29</v>
      </c>
      <c r="G170" s="14" t="s">
        <v>45</v>
      </c>
      <c r="H170" s="14"/>
      <c r="I170" s="14" t="s">
        <v>749</v>
      </c>
      <c r="J170" s="14"/>
      <c r="K170" s="14" t="s">
        <v>47</v>
      </c>
    </row>
    <row r="171" customFormat="false" ht="15" hidden="false" customHeight="true" outlineLevel="0" collapsed="false">
      <c r="A171" s="14" t="s">
        <v>750</v>
      </c>
      <c r="B171" s="14" t="s">
        <v>12</v>
      </c>
      <c r="C171" s="14" t="s">
        <v>751</v>
      </c>
      <c r="D171" s="14" t="s">
        <v>752</v>
      </c>
      <c r="E171" s="14" t="s">
        <v>5</v>
      </c>
      <c r="F171" s="14" t="s">
        <v>29</v>
      </c>
      <c r="G171" s="14" t="s">
        <v>45</v>
      </c>
      <c r="H171" s="14"/>
      <c r="I171" s="14" t="s">
        <v>753</v>
      </c>
      <c r="J171" s="14"/>
      <c r="K171" s="14" t="s">
        <v>47</v>
      </c>
    </row>
    <row r="172" customFormat="false" ht="15" hidden="false" customHeight="true" outlineLevel="0" collapsed="false">
      <c r="A172" s="14" t="s">
        <v>754</v>
      </c>
      <c r="B172" s="14" t="s">
        <v>12</v>
      </c>
      <c r="C172" s="14" t="s">
        <v>755</v>
      </c>
      <c r="D172" s="14" t="s">
        <v>756</v>
      </c>
      <c r="E172" s="14" t="s">
        <v>5</v>
      </c>
      <c r="F172" s="14" t="s">
        <v>29</v>
      </c>
      <c r="G172" s="14" t="s">
        <v>45</v>
      </c>
      <c r="H172" s="14"/>
      <c r="I172" s="14" t="s">
        <v>757</v>
      </c>
      <c r="J172" s="14"/>
      <c r="K172" s="14" t="s">
        <v>47</v>
      </c>
    </row>
    <row r="173" customFormat="false" ht="15" hidden="false" customHeight="true" outlineLevel="0" collapsed="false">
      <c r="A173" s="14" t="s">
        <v>758</v>
      </c>
      <c r="B173" s="14" t="s">
        <v>12</v>
      </c>
      <c r="C173" s="14" t="s">
        <v>759</v>
      </c>
      <c r="D173" s="14" t="s">
        <v>760</v>
      </c>
      <c r="E173" s="14" t="s">
        <v>5</v>
      </c>
      <c r="F173" s="14" t="s">
        <v>29</v>
      </c>
      <c r="G173" s="14" t="s">
        <v>45</v>
      </c>
      <c r="H173" s="14"/>
      <c r="I173" s="14" t="s">
        <v>761</v>
      </c>
      <c r="J173" s="14"/>
      <c r="K173" s="14" t="s">
        <v>47</v>
      </c>
    </row>
    <row r="174" customFormat="false" ht="15" hidden="false" customHeight="true" outlineLevel="0" collapsed="false">
      <c r="A174" s="14" t="s">
        <v>762</v>
      </c>
      <c r="B174" s="14" t="s">
        <v>12</v>
      </c>
      <c r="C174" s="14" t="s">
        <v>763</v>
      </c>
      <c r="D174" s="14" t="s">
        <v>764</v>
      </c>
      <c r="E174" s="14" t="s">
        <v>5</v>
      </c>
      <c r="F174" s="14" t="s">
        <v>29</v>
      </c>
      <c r="G174" s="14" t="s">
        <v>45</v>
      </c>
      <c r="H174" s="14"/>
      <c r="I174" s="14" t="s">
        <v>765</v>
      </c>
      <c r="J174" s="14"/>
      <c r="K174" s="14" t="s">
        <v>47</v>
      </c>
    </row>
    <row r="175" customFormat="false" ht="15" hidden="false" customHeight="true" outlineLevel="0" collapsed="false">
      <c r="A175" s="14" t="s">
        <v>766</v>
      </c>
      <c r="B175" s="14" t="s">
        <v>12</v>
      </c>
      <c r="C175" s="14" t="s">
        <v>767</v>
      </c>
      <c r="D175" s="14" t="s">
        <v>768</v>
      </c>
      <c r="E175" s="14" t="s">
        <v>5</v>
      </c>
      <c r="F175" s="14" t="s">
        <v>29</v>
      </c>
      <c r="G175" s="14" t="s">
        <v>45</v>
      </c>
      <c r="H175" s="14"/>
      <c r="I175" s="14" t="s">
        <v>769</v>
      </c>
      <c r="J175" s="14"/>
      <c r="K175" s="14" t="s">
        <v>47</v>
      </c>
    </row>
    <row r="176" customFormat="false" ht="15" hidden="false" customHeight="true" outlineLevel="0" collapsed="false">
      <c r="A176" s="14" t="s">
        <v>770</v>
      </c>
      <c r="B176" s="14" t="s">
        <v>12</v>
      </c>
      <c r="C176" s="14" t="s">
        <v>771</v>
      </c>
      <c r="D176" s="14" t="s">
        <v>772</v>
      </c>
      <c r="E176" s="14" t="s">
        <v>5</v>
      </c>
      <c r="F176" s="14" t="s">
        <v>29</v>
      </c>
      <c r="G176" s="14" t="s">
        <v>45</v>
      </c>
      <c r="H176" s="14"/>
      <c r="I176" s="14" t="s">
        <v>773</v>
      </c>
      <c r="J176" s="14"/>
      <c r="K176" s="14" t="s">
        <v>47</v>
      </c>
    </row>
    <row r="177" customFormat="false" ht="15" hidden="false" customHeight="true" outlineLevel="0" collapsed="false">
      <c r="A177" s="14" t="s">
        <v>774</v>
      </c>
      <c r="B177" s="14" t="s">
        <v>12</v>
      </c>
      <c r="C177" s="14" t="s">
        <v>775</v>
      </c>
      <c r="D177" s="14" t="s">
        <v>776</v>
      </c>
      <c r="E177" s="14" t="s">
        <v>5</v>
      </c>
      <c r="F177" s="14" t="s">
        <v>29</v>
      </c>
      <c r="G177" s="14" t="s">
        <v>45</v>
      </c>
      <c r="H177" s="14"/>
      <c r="I177" s="14" t="s">
        <v>777</v>
      </c>
      <c r="J177" s="14"/>
      <c r="K177" s="14" t="s">
        <v>47</v>
      </c>
    </row>
    <row r="178" customFormat="false" ht="15" hidden="false" customHeight="true" outlineLevel="0" collapsed="false">
      <c r="A178" s="14" t="s">
        <v>778</v>
      </c>
      <c r="B178" s="14" t="s">
        <v>12</v>
      </c>
      <c r="C178" s="14" t="s">
        <v>779</v>
      </c>
      <c r="D178" s="14" t="s">
        <v>780</v>
      </c>
      <c r="E178" s="14" t="s">
        <v>5</v>
      </c>
      <c r="F178" s="14" t="s">
        <v>29</v>
      </c>
      <c r="G178" s="14" t="s">
        <v>45</v>
      </c>
      <c r="H178" s="14"/>
      <c r="I178" s="14" t="s">
        <v>781</v>
      </c>
      <c r="J178" s="14"/>
      <c r="K178" s="14" t="s">
        <v>47</v>
      </c>
    </row>
    <row r="179" customFormat="false" ht="15" hidden="false" customHeight="true" outlineLevel="0" collapsed="false">
      <c r="A179" s="14" t="s">
        <v>782</v>
      </c>
      <c r="B179" s="14" t="s">
        <v>12</v>
      </c>
      <c r="C179" s="14" t="s">
        <v>783</v>
      </c>
      <c r="D179" s="14" t="s">
        <v>784</v>
      </c>
      <c r="E179" s="14" t="s">
        <v>5</v>
      </c>
      <c r="F179" s="14" t="s">
        <v>29</v>
      </c>
      <c r="G179" s="14" t="s">
        <v>45</v>
      </c>
      <c r="H179" s="14"/>
      <c r="I179" s="14" t="s">
        <v>785</v>
      </c>
      <c r="J179" s="14"/>
      <c r="K179" s="14" t="s">
        <v>47</v>
      </c>
    </row>
    <row r="180" customFormat="false" ht="15" hidden="false" customHeight="true" outlineLevel="0" collapsed="false">
      <c r="A180" s="14" t="s">
        <v>786</v>
      </c>
      <c r="B180" s="14" t="s">
        <v>12</v>
      </c>
      <c r="C180" s="14" t="s">
        <v>787</v>
      </c>
      <c r="D180" s="14" t="s">
        <v>788</v>
      </c>
      <c r="E180" s="14" t="s">
        <v>5</v>
      </c>
      <c r="F180" s="14" t="s">
        <v>29</v>
      </c>
      <c r="G180" s="14" t="s">
        <v>45</v>
      </c>
      <c r="H180" s="14"/>
      <c r="I180" s="14" t="s">
        <v>789</v>
      </c>
      <c r="J180" s="14"/>
      <c r="K180" s="14" t="s">
        <v>47</v>
      </c>
    </row>
    <row r="181" customFormat="false" ht="15" hidden="false" customHeight="true" outlineLevel="0" collapsed="false">
      <c r="A181" s="14" t="s">
        <v>790</v>
      </c>
      <c r="B181" s="14" t="s">
        <v>12</v>
      </c>
      <c r="C181" s="14" t="s">
        <v>791</v>
      </c>
      <c r="D181" s="14" t="s">
        <v>792</v>
      </c>
      <c r="E181" s="14" t="s">
        <v>5</v>
      </c>
      <c r="F181" s="14" t="s">
        <v>29</v>
      </c>
      <c r="G181" s="14" t="s">
        <v>45</v>
      </c>
      <c r="H181" s="14"/>
      <c r="I181" s="14" t="s">
        <v>793</v>
      </c>
      <c r="J181" s="14"/>
      <c r="K181" s="14" t="s">
        <v>47</v>
      </c>
    </row>
    <row r="182" customFormat="false" ht="15" hidden="false" customHeight="true" outlineLevel="0" collapsed="false">
      <c r="A182" s="14" t="s">
        <v>794</v>
      </c>
      <c r="B182" s="14" t="s">
        <v>12</v>
      </c>
      <c r="C182" s="14" t="s">
        <v>795</v>
      </c>
      <c r="D182" s="14" t="s">
        <v>796</v>
      </c>
      <c r="E182" s="14" t="s">
        <v>5</v>
      </c>
      <c r="F182" s="14" t="s">
        <v>29</v>
      </c>
      <c r="G182" s="14" t="s">
        <v>45</v>
      </c>
      <c r="H182" s="14"/>
      <c r="I182" s="14" t="s">
        <v>797</v>
      </c>
      <c r="J182" s="14"/>
      <c r="K182" s="14" t="s">
        <v>47</v>
      </c>
    </row>
    <row r="183" customFormat="false" ht="15" hidden="false" customHeight="true" outlineLevel="0" collapsed="false">
      <c r="A183" s="14" t="s">
        <v>798</v>
      </c>
      <c r="B183" s="14" t="s">
        <v>13</v>
      </c>
      <c r="C183" s="14" t="s">
        <v>799</v>
      </c>
      <c r="D183" s="14" t="s">
        <v>800</v>
      </c>
      <c r="E183" s="14" t="s">
        <v>3</v>
      </c>
      <c r="F183" s="14" t="s">
        <v>25</v>
      </c>
      <c r="G183" s="14" t="s">
        <v>61</v>
      </c>
      <c r="H183" s="14"/>
      <c r="I183" s="14" t="s">
        <v>801</v>
      </c>
      <c r="J183" s="14" t="s">
        <v>802</v>
      </c>
      <c r="K183" s="14" t="s">
        <v>47</v>
      </c>
    </row>
    <row r="184" customFormat="false" ht="15" hidden="false" customHeight="true" outlineLevel="0" collapsed="false">
      <c r="A184" s="14" t="s">
        <v>803</v>
      </c>
      <c r="B184" s="14" t="s">
        <v>13</v>
      </c>
      <c r="C184" s="14" t="s">
        <v>804</v>
      </c>
      <c r="D184" s="14" t="s">
        <v>800</v>
      </c>
      <c r="E184" s="14" t="s">
        <v>3</v>
      </c>
      <c r="F184" s="14" t="s">
        <v>25</v>
      </c>
      <c r="G184" s="14" t="s">
        <v>61</v>
      </c>
      <c r="H184" s="14"/>
      <c r="I184" s="14" t="s">
        <v>801</v>
      </c>
      <c r="J184" s="14" t="s">
        <v>805</v>
      </c>
      <c r="K184" s="14" t="s">
        <v>47</v>
      </c>
    </row>
    <row r="185" customFormat="false" ht="15" hidden="false" customHeight="true" outlineLevel="0" collapsed="false">
      <c r="A185" s="14" t="s">
        <v>806</v>
      </c>
      <c r="B185" s="14" t="s">
        <v>13</v>
      </c>
      <c r="C185" s="14" t="s">
        <v>807</v>
      </c>
      <c r="D185" s="14" t="s">
        <v>800</v>
      </c>
      <c r="E185" s="14" t="s">
        <v>6</v>
      </c>
      <c r="F185" s="14" t="s">
        <v>29</v>
      </c>
      <c r="G185" s="14" t="s">
        <v>61</v>
      </c>
      <c r="H185" s="14"/>
      <c r="I185" s="14"/>
      <c r="J185" s="14" t="s">
        <v>808</v>
      </c>
      <c r="K185" s="14" t="s">
        <v>47</v>
      </c>
    </row>
    <row r="186" customFormat="false" ht="15" hidden="false" customHeight="true" outlineLevel="0" collapsed="false">
      <c r="A186" s="14" t="s">
        <v>809</v>
      </c>
      <c r="B186" s="14" t="s">
        <v>13</v>
      </c>
      <c r="C186" s="14" t="s">
        <v>810</v>
      </c>
      <c r="D186" s="14" t="s">
        <v>811</v>
      </c>
      <c r="E186" s="14" t="s">
        <v>5</v>
      </c>
      <c r="F186" s="14" t="s">
        <v>29</v>
      </c>
      <c r="G186" s="14" t="s">
        <v>45</v>
      </c>
      <c r="H186" s="14"/>
      <c r="I186" s="14" t="s">
        <v>812</v>
      </c>
      <c r="J186" s="14"/>
      <c r="K186" s="14" t="s">
        <v>47</v>
      </c>
    </row>
    <row r="187" customFormat="false" ht="15" hidden="false" customHeight="true" outlineLevel="0" collapsed="false">
      <c r="A187" s="14" t="s">
        <v>813</v>
      </c>
      <c r="B187" s="14" t="s">
        <v>13</v>
      </c>
      <c r="C187" s="14" t="s">
        <v>814</v>
      </c>
      <c r="D187" s="14" t="s">
        <v>815</v>
      </c>
      <c r="E187" s="14" t="s">
        <v>5</v>
      </c>
      <c r="F187" s="14" t="s">
        <v>29</v>
      </c>
      <c r="G187" s="14" t="s">
        <v>45</v>
      </c>
      <c r="H187" s="14"/>
      <c r="I187" s="14" t="s">
        <v>816</v>
      </c>
      <c r="J187" s="14"/>
      <c r="K187" s="14" t="s">
        <v>47</v>
      </c>
    </row>
    <row r="188" customFormat="false" ht="15" hidden="false" customHeight="true" outlineLevel="0" collapsed="false">
      <c r="A188" s="14" t="s">
        <v>817</v>
      </c>
      <c r="B188" s="14" t="s">
        <v>13</v>
      </c>
      <c r="C188" s="14" t="s">
        <v>818</v>
      </c>
      <c r="D188" s="14" t="s">
        <v>819</v>
      </c>
      <c r="E188" s="14" t="s">
        <v>5</v>
      </c>
      <c r="F188" s="14" t="s">
        <v>29</v>
      </c>
      <c r="G188" s="14" t="s">
        <v>45</v>
      </c>
      <c r="H188" s="14"/>
      <c r="I188" s="14" t="s">
        <v>820</v>
      </c>
      <c r="J188" s="14"/>
      <c r="K188" s="14" t="s">
        <v>47</v>
      </c>
    </row>
    <row r="189" customFormat="false" ht="15" hidden="false" customHeight="true" outlineLevel="0" collapsed="false">
      <c r="A189" s="14" t="s">
        <v>821</v>
      </c>
      <c r="B189" s="14" t="s">
        <v>13</v>
      </c>
      <c r="C189" s="14" t="s">
        <v>822</v>
      </c>
      <c r="D189" s="14" t="s">
        <v>823</v>
      </c>
      <c r="E189" s="14" t="s">
        <v>5</v>
      </c>
      <c r="F189" s="14" t="s">
        <v>29</v>
      </c>
      <c r="G189" s="14" t="s">
        <v>45</v>
      </c>
      <c r="H189" s="14"/>
      <c r="I189" s="14" t="s">
        <v>824</v>
      </c>
      <c r="J189" s="14"/>
      <c r="K189" s="14" t="s">
        <v>47</v>
      </c>
    </row>
    <row r="190" customFormat="false" ht="15" hidden="false" customHeight="true" outlineLevel="0" collapsed="false">
      <c r="A190" s="14" t="s">
        <v>825</v>
      </c>
      <c r="B190" s="14" t="s">
        <v>13</v>
      </c>
      <c r="C190" s="14" t="s">
        <v>826</v>
      </c>
      <c r="D190" s="14" t="s">
        <v>827</v>
      </c>
      <c r="E190" s="14" t="s">
        <v>5</v>
      </c>
      <c r="F190" s="14" t="s">
        <v>29</v>
      </c>
      <c r="G190" s="14" t="s">
        <v>45</v>
      </c>
      <c r="H190" s="14"/>
      <c r="I190" s="14" t="s">
        <v>828</v>
      </c>
      <c r="J190" s="14"/>
      <c r="K190" s="14" t="s">
        <v>47</v>
      </c>
    </row>
    <row r="191" customFormat="false" ht="15" hidden="false" customHeight="true" outlineLevel="0" collapsed="false">
      <c r="A191" s="14" t="s">
        <v>829</v>
      </c>
      <c r="B191" s="14" t="s">
        <v>13</v>
      </c>
      <c r="C191" s="14" t="s">
        <v>830</v>
      </c>
      <c r="D191" s="14" t="s">
        <v>831</v>
      </c>
      <c r="E191" s="14" t="s">
        <v>5</v>
      </c>
      <c r="F191" s="14" t="s">
        <v>29</v>
      </c>
      <c r="G191" s="14" t="s">
        <v>45</v>
      </c>
      <c r="H191" s="14"/>
      <c r="I191" s="14" t="s">
        <v>832</v>
      </c>
      <c r="J191" s="14"/>
      <c r="K191" s="14" t="s">
        <v>47</v>
      </c>
    </row>
    <row r="192" customFormat="false" ht="15" hidden="false" customHeight="true" outlineLevel="0" collapsed="false">
      <c r="A192" s="14" t="s">
        <v>833</v>
      </c>
      <c r="B192" s="14" t="s">
        <v>13</v>
      </c>
      <c r="C192" s="14" t="s">
        <v>834</v>
      </c>
      <c r="D192" s="14" t="s">
        <v>835</v>
      </c>
      <c r="E192" s="14" t="s">
        <v>5</v>
      </c>
      <c r="F192" s="14" t="s">
        <v>29</v>
      </c>
      <c r="G192" s="14" t="s">
        <v>45</v>
      </c>
      <c r="H192" s="14"/>
      <c r="I192" s="14" t="s">
        <v>836</v>
      </c>
      <c r="J192" s="14"/>
      <c r="K192" s="14" t="s">
        <v>47</v>
      </c>
    </row>
    <row r="193" customFormat="false" ht="15" hidden="false" customHeight="true" outlineLevel="0" collapsed="false">
      <c r="A193" s="14" t="s">
        <v>837</v>
      </c>
      <c r="B193" s="14" t="s">
        <v>13</v>
      </c>
      <c r="C193" s="14" t="s">
        <v>838</v>
      </c>
      <c r="D193" s="14" t="s">
        <v>839</v>
      </c>
      <c r="E193" s="14" t="s">
        <v>5</v>
      </c>
      <c r="F193" s="14" t="s">
        <v>29</v>
      </c>
      <c r="G193" s="14" t="s">
        <v>45</v>
      </c>
      <c r="H193" s="14"/>
      <c r="I193" s="14" t="s">
        <v>840</v>
      </c>
      <c r="J193" s="14"/>
      <c r="K193" s="14" t="s">
        <v>47</v>
      </c>
    </row>
    <row r="194" customFormat="false" ht="15" hidden="false" customHeight="true" outlineLevel="0" collapsed="false">
      <c r="A194" s="14" t="s">
        <v>841</v>
      </c>
      <c r="B194" s="14" t="s">
        <v>13</v>
      </c>
      <c r="C194" s="14" t="s">
        <v>842</v>
      </c>
      <c r="D194" s="14" t="s">
        <v>843</v>
      </c>
      <c r="E194" s="14" t="s">
        <v>5</v>
      </c>
      <c r="F194" s="14" t="s">
        <v>29</v>
      </c>
      <c r="G194" s="14" t="s">
        <v>45</v>
      </c>
      <c r="H194" s="14"/>
      <c r="I194" s="14" t="s">
        <v>844</v>
      </c>
      <c r="J194" s="14"/>
      <c r="K194" s="14" t="s">
        <v>47</v>
      </c>
    </row>
    <row r="195" customFormat="false" ht="15" hidden="false" customHeight="true" outlineLevel="0" collapsed="false">
      <c r="A195" s="14" t="s">
        <v>845</v>
      </c>
      <c r="B195" s="14" t="s">
        <v>13</v>
      </c>
      <c r="C195" s="14" t="s">
        <v>846</v>
      </c>
      <c r="D195" s="14" t="s">
        <v>847</v>
      </c>
      <c r="E195" s="14" t="s">
        <v>5</v>
      </c>
      <c r="F195" s="14" t="s">
        <v>29</v>
      </c>
      <c r="G195" s="14" t="s">
        <v>45</v>
      </c>
      <c r="H195" s="14"/>
      <c r="I195" s="14" t="s">
        <v>848</v>
      </c>
      <c r="J195" s="14"/>
      <c r="K195" s="14" t="s">
        <v>47</v>
      </c>
    </row>
    <row r="196" customFormat="false" ht="15" hidden="false" customHeight="true" outlineLevel="0" collapsed="false">
      <c r="A196" s="14" t="s">
        <v>849</v>
      </c>
      <c r="B196" s="14" t="s">
        <v>13</v>
      </c>
      <c r="C196" s="14" t="s">
        <v>850</v>
      </c>
      <c r="D196" s="14" t="s">
        <v>851</v>
      </c>
      <c r="E196" s="14" t="s">
        <v>5</v>
      </c>
      <c r="F196" s="14" t="s">
        <v>29</v>
      </c>
      <c r="G196" s="14" t="s">
        <v>45</v>
      </c>
      <c r="H196" s="14"/>
      <c r="I196" s="14" t="s">
        <v>852</v>
      </c>
      <c r="J196" s="14"/>
      <c r="K196" s="14" t="s">
        <v>47</v>
      </c>
    </row>
    <row r="197" customFormat="false" ht="15" hidden="false" customHeight="true" outlineLevel="0" collapsed="false">
      <c r="A197" s="14" t="s">
        <v>853</v>
      </c>
      <c r="B197" s="14" t="s">
        <v>13</v>
      </c>
      <c r="C197" s="14" t="s">
        <v>854</v>
      </c>
      <c r="D197" s="14" t="s">
        <v>855</v>
      </c>
      <c r="E197" s="14" t="s">
        <v>5</v>
      </c>
      <c r="F197" s="14" t="s">
        <v>27</v>
      </c>
      <c r="G197" s="14" t="s">
        <v>45</v>
      </c>
      <c r="H197" s="14"/>
      <c r="I197" s="14" t="s">
        <v>856</v>
      </c>
      <c r="J197" s="14"/>
      <c r="K197" s="14" t="s">
        <v>47</v>
      </c>
    </row>
    <row r="198" customFormat="false" ht="15" hidden="false" customHeight="true" outlineLevel="0" collapsed="false">
      <c r="A198" s="14" t="s">
        <v>857</v>
      </c>
      <c r="B198" s="14" t="s">
        <v>13</v>
      </c>
      <c r="C198" s="14" t="s">
        <v>858</v>
      </c>
      <c r="D198" s="14" t="s">
        <v>859</v>
      </c>
      <c r="E198" s="14" t="s">
        <v>5</v>
      </c>
      <c r="F198" s="14" t="s">
        <v>29</v>
      </c>
      <c r="G198" s="14" t="s">
        <v>45</v>
      </c>
      <c r="H198" s="14"/>
      <c r="I198" s="14" t="s">
        <v>860</v>
      </c>
      <c r="J198" s="14"/>
      <c r="K198" s="14" t="s">
        <v>47</v>
      </c>
    </row>
    <row r="199" customFormat="false" ht="15" hidden="false" customHeight="true" outlineLevel="0" collapsed="false">
      <c r="A199" s="14" t="s">
        <v>861</v>
      </c>
      <c r="B199" s="14" t="s">
        <v>13</v>
      </c>
      <c r="C199" s="14" t="s">
        <v>862</v>
      </c>
      <c r="D199" s="14" t="s">
        <v>863</v>
      </c>
      <c r="E199" s="14" t="s">
        <v>5</v>
      </c>
      <c r="F199" s="14" t="s">
        <v>29</v>
      </c>
      <c r="G199" s="14" t="s">
        <v>45</v>
      </c>
      <c r="H199" s="14"/>
      <c r="I199" s="14" t="s">
        <v>864</v>
      </c>
      <c r="J199" s="14"/>
      <c r="K199" s="14" t="s">
        <v>47</v>
      </c>
    </row>
    <row r="200" customFormat="false" ht="15" hidden="false" customHeight="true" outlineLevel="0" collapsed="false">
      <c r="A200" s="14" t="s">
        <v>865</v>
      </c>
      <c r="B200" s="14" t="s">
        <v>13</v>
      </c>
      <c r="C200" s="14" t="s">
        <v>866</v>
      </c>
      <c r="D200" s="14" t="s">
        <v>867</v>
      </c>
      <c r="E200" s="14" t="s">
        <v>5</v>
      </c>
      <c r="F200" s="14" t="s">
        <v>29</v>
      </c>
      <c r="G200" s="14" t="s">
        <v>45</v>
      </c>
      <c r="H200" s="14"/>
      <c r="I200" s="14" t="s">
        <v>868</v>
      </c>
      <c r="J200" s="14"/>
      <c r="K200" s="14" t="s">
        <v>47</v>
      </c>
    </row>
    <row r="201" customFormat="false" ht="15" hidden="false" customHeight="true" outlineLevel="0" collapsed="false">
      <c r="A201" s="14" t="s">
        <v>869</v>
      </c>
      <c r="B201" s="14" t="s">
        <v>13</v>
      </c>
      <c r="C201" s="14" t="s">
        <v>870</v>
      </c>
      <c r="D201" s="14" t="s">
        <v>871</v>
      </c>
      <c r="E201" s="14" t="s">
        <v>5</v>
      </c>
      <c r="F201" s="14" t="s">
        <v>27</v>
      </c>
      <c r="G201" s="14" t="s">
        <v>45</v>
      </c>
      <c r="H201" s="14"/>
      <c r="I201" s="14" t="s">
        <v>872</v>
      </c>
      <c r="J201" s="14"/>
      <c r="K201" s="14" t="s">
        <v>47</v>
      </c>
    </row>
    <row r="202" customFormat="false" ht="15" hidden="false" customHeight="true" outlineLevel="0" collapsed="false">
      <c r="A202" s="14" t="s">
        <v>873</v>
      </c>
      <c r="B202" s="14" t="s">
        <v>13</v>
      </c>
      <c r="C202" s="14" t="s">
        <v>874</v>
      </c>
      <c r="D202" s="14" t="s">
        <v>875</v>
      </c>
      <c r="E202" s="14" t="s">
        <v>5</v>
      </c>
      <c r="F202" s="14" t="s">
        <v>29</v>
      </c>
      <c r="G202" s="14" t="s">
        <v>45</v>
      </c>
      <c r="H202" s="14"/>
      <c r="I202" s="14" t="s">
        <v>876</v>
      </c>
      <c r="J202" s="14"/>
      <c r="K202" s="14" t="s">
        <v>47</v>
      </c>
    </row>
    <row r="203" customFormat="false" ht="15" hidden="false" customHeight="true" outlineLevel="0" collapsed="false">
      <c r="A203" s="14" t="s">
        <v>877</v>
      </c>
      <c r="B203" s="14" t="s">
        <v>13</v>
      </c>
      <c r="C203" s="14" t="s">
        <v>878</v>
      </c>
      <c r="D203" s="14" t="s">
        <v>879</v>
      </c>
      <c r="E203" s="14" t="s">
        <v>5</v>
      </c>
      <c r="F203" s="14" t="s">
        <v>29</v>
      </c>
      <c r="G203" s="14" t="s">
        <v>45</v>
      </c>
      <c r="H203" s="14"/>
      <c r="I203" s="14" t="s">
        <v>880</v>
      </c>
      <c r="J203" s="14"/>
      <c r="K203" s="14" t="s">
        <v>47</v>
      </c>
    </row>
    <row r="204" customFormat="false" ht="15" hidden="false" customHeight="true" outlineLevel="0" collapsed="false">
      <c r="A204" s="14" t="s">
        <v>881</v>
      </c>
      <c r="B204" s="14" t="s">
        <v>14</v>
      </c>
      <c r="C204" s="14" t="s">
        <v>882</v>
      </c>
      <c r="D204" s="14" t="s">
        <v>44</v>
      </c>
      <c r="E204" s="14" t="s">
        <v>3</v>
      </c>
      <c r="F204" s="14" t="s">
        <v>25</v>
      </c>
      <c r="G204" s="14" t="s">
        <v>90</v>
      </c>
      <c r="H204" s="14"/>
      <c r="I204" s="14" t="s">
        <v>883</v>
      </c>
      <c r="J204" s="14" t="s">
        <v>884</v>
      </c>
      <c r="K204" s="14" t="s">
        <v>47</v>
      </c>
    </row>
    <row r="205" customFormat="false" ht="15" hidden="false" customHeight="true" outlineLevel="0" collapsed="false">
      <c r="A205" s="14" t="s">
        <v>885</v>
      </c>
      <c r="B205" s="14" t="s">
        <v>14</v>
      </c>
      <c r="C205" s="14" t="s">
        <v>886</v>
      </c>
      <c r="D205" s="14" t="s">
        <v>887</v>
      </c>
      <c r="E205" s="14" t="s">
        <v>3</v>
      </c>
      <c r="F205" s="14" t="s">
        <v>25</v>
      </c>
      <c r="G205" s="14" t="s">
        <v>45</v>
      </c>
      <c r="H205" s="14" t="n">
        <v>13</v>
      </c>
      <c r="I205" s="14" t="s">
        <v>888</v>
      </c>
      <c r="J205" s="14" t="s">
        <v>889</v>
      </c>
      <c r="K205" s="14" t="s">
        <v>47</v>
      </c>
    </row>
    <row r="206" customFormat="false" ht="15" hidden="false" customHeight="true" outlineLevel="0" collapsed="false">
      <c r="A206" s="14" t="s">
        <v>890</v>
      </c>
      <c r="B206" s="14" t="s">
        <v>14</v>
      </c>
      <c r="C206" s="14" t="s">
        <v>891</v>
      </c>
      <c r="D206" s="14" t="s">
        <v>892</v>
      </c>
      <c r="E206" s="14" t="s">
        <v>5</v>
      </c>
      <c r="F206" s="14" t="s">
        <v>27</v>
      </c>
      <c r="G206" s="14" t="s">
        <v>90</v>
      </c>
      <c r="H206" s="14"/>
      <c r="I206" s="14" t="s">
        <v>893</v>
      </c>
      <c r="J206" s="14" t="s">
        <v>894</v>
      </c>
      <c r="K206" s="14" t="s">
        <v>47</v>
      </c>
    </row>
    <row r="207" customFormat="false" ht="15" hidden="false" customHeight="true" outlineLevel="0" collapsed="false">
      <c r="A207" s="14" t="s">
        <v>895</v>
      </c>
      <c r="B207" s="14" t="s">
        <v>14</v>
      </c>
      <c r="C207" s="14" t="s">
        <v>896</v>
      </c>
      <c r="D207" s="14" t="s">
        <v>897</v>
      </c>
      <c r="E207" s="14" t="s">
        <v>5</v>
      </c>
      <c r="F207" s="14" t="s">
        <v>27</v>
      </c>
      <c r="G207" s="14" t="s">
        <v>90</v>
      </c>
      <c r="H207" s="14"/>
      <c r="I207" s="14" t="s">
        <v>898</v>
      </c>
      <c r="J207" s="14"/>
      <c r="K207" s="14" t="s">
        <v>47</v>
      </c>
    </row>
    <row r="208" customFormat="false" ht="15" hidden="false" customHeight="true" outlineLevel="0" collapsed="false">
      <c r="A208" s="14" t="s">
        <v>899</v>
      </c>
      <c r="B208" s="14" t="s">
        <v>14</v>
      </c>
      <c r="C208" s="14" t="s">
        <v>900</v>
      </c>
      <c r="D208" s="14" t="s">
        <v>897</v>
      </c>
      <c r="E208" s="14" t="s">
        <v>5</v>
      </c>
      <c r="F208" s="14" t="s">
        <v>29</v>
      </c>
      <c r="G208" s="14" t="s">
        <v>90</v>
      </c>
      <c r="H208" s="14"/>
      <c r="I208" s="14" t="s">
        <v>901</v>
      </c>
      <c r="J208" s="14"/>
      <c r="K208" s="14" t="s">
        <v>47</v>
      </c>
    </row>
    <row r="209" customFormat="false" ht="15" hidden="false" customHeight="true" outlineLevel="0" collapsed="false">
      <c r="A209" s="14" t="s">
        <v>902</v>
      </c>
      <c r="B209" s="14" t="s">
        <v>14</v>
      </c>
      <c r="C209" s="14" t="s">
        <v>903</v>
      </c>
      <c r="D209" s="14" t="s">
        <v>897</v>
      </c>
      <c r="E209" s="14" t="s">
        <v>5</v>
      </c>
      <c r="F209" s="14" t="s">
        <v>29</v>
      </c>
      <c r="G209" s="14" t="s">
        <v>90</v>
      </c>
      <c r="H209" s="14"/>
      <c r="I209" s="14" t="s">
        <v>904</v>
      </c>
      <c r="J209" s="14"/>
      <c r="K209" s="14" t="s">
        <v>47</v>
      </c>
    </row>
    <row r="210" customFormat="false" ht="15" hidden="false" customHeight="true" outlineLevel="0" collapsed="false">
      <c r="A210" s="14" t="s">
        <v>905</v>
      </c>
      <c r="B210" s="14" t="s">
        <v>14</v>
      </c>
      <c r="C210" s="14" t="s">
        <v>906</v>
      </c>
      <c r="D210" s="14" t="s">
        <v>897</v>
      </c>
      <c r="E210" s="14" t="s">
        <v>5</v>
      </c>
      <c r="F210" s="14" t="s">
        <v>27</v>
      </c>
      <c r="G210" s="14" t="s">
        <v>45</v>
      </c>
      <c r="H210" s="14"/>
      <c r="I210" s="14" t="s">
        <v>907</v>
      </c>
      <c r="J210" s="14"/>
      <c r="K210" s="14" t="s">
        <v>47</v>
      </c>
    </row>
    <row r="211" customFormat="false" ht="15" hidden="false" customHeight="true" outlineLevel="0" collapsed="false">
      <c r="A211" s="14" t="s">
        <v>908</v>
      </c>
      <c r="B211" s="14" t="s">
        <v>14</v>
      </c>
      <c r="C211" s="14" t="s">
        <v>909</v>
      </c>
      <c r="D211" s="14" t="s">
        <v>897</v>
      </c>
      <c r="E211" s="14" t="s">
        <v>7</v>
      </c>
      <c r="F211" s="14" t="s">
        <v>29</v>
      </c>
      <c r="G211" s="14" t="s">
        <v>45</v>
      </c>
      <c r="H211" s="14"/>
      <c r="I211" s="14"/>
      <c r="J211" s="14" t="s">
        <v>910</v>
      </c>
      <c r="K211" s="14" t="s">
        <v>47</v>
      </c>
    </row>
    <row r="212" customFormat="false" ht="15" hidden="false" customHeight="true" outlineLevel="0" collapsed="false">
      <c r="A212" s="14" t="s">
        <v>911</v>
      </c>
      <c r="B212" s="14" t="s">
        <v>14</v>
      </c>
      <c r="C212" s="14" t="s">
        <v>912</v>
      </c>
      <c r="D212" s="14" t="s">
        <v>913</v>
      </c>
      <c r="E212" s="14" t="s">
        <v>5</v>
      </c>
      <c r="F212" s="14" t="s">
        <v>29</v>
      </c>
      <c r="G212" s="14" t="s">
        <v>90</v>
      </c>
      <c r="H212" s="14"/>
      <c r="I212" s="14" t="s">
        <v>914</v>
      </c>
      <c r="J212" s="14" t="s">
        <v>915</v>
      </c>
      <c r="K212" s="14" t="s">
        <v>47</v>
      </c>
    </row>
    <row r="213" customFormat="false" ht="15" hidden="false" customHeight="true" outlineLevel="0" collapsed="false">
      <c r="A213" s="14" t="s">
        <v>916</v>
      </c>
      <c r="B213" s="14" t="s">
        <v>14</v>
      </c>
      <c r="C213" s="14" t="s">
        <v>917</v>
      </c>
      <c r="D213" s="14" t="s">
        <v>918</v>
      </c>
      <c r="E213" s="14" t="s">
        <v>5</v>
      </c>
      <c r="F213" s="14" t="s">
        <v>29</v>
      </c>
      <c r="G213" s="14" t="s">
        <v>45</v>
      </c>
      <c r="H213" s="14"/>
      <c r="I213" s="14" t="s">
        <v>872</v>
      </c>
      <c r="J213" s="14" t="s">
        <v>919</v>
      </c>
      <c r="K213" s="14" t="s">
        <v>47</v>
      </c>
    </row>
    <row r="214" customFormat="false" ht="15" hidden="false" customHeight="true" outlineLevel="0" collapsed="false">
      <c r="A214" s="14" t="s">
        <v>920</v>
      </c>
      <c r="B214" s="14" t="s">
        <v>15</v>
      </c>
      <c r="C214" s="14" t="s">
        <v>921</v>
      </c>
      <c r="D214" s="14" t="s">
        <v>922</v>
      </c>
      <c r="E214" s="14" t="s">
        <v>3</v>
      </c>
      <c r="F214" s="14" t="s">
        <v>25</v>
      </c>
      <c r="G214" s="14" t="s">
        <v>45</v>
      </c>
      <c r="H214" s="14"/>
      <c r="I214" s="14" t="s">
        <v>923</v>
      </c>
      <c r="J214" s="14" t="s">
        <v>924</v>
      </c>
      <c r="K214" s="14" t="s">
        <v>47</v>
      </c>
    </row>
    <row r="215" customFormat="false" ht="15" hidden="false" customHeight="true" outlineLevel="0" collapsed="false">
      <c r="A215" s="14" t="s">
        <v>925</v>
      </c>
      <c r="B215" s="14" t="s">
        <v>15</v>
      </c>
      <c r="C215" s="14" t="s">
        <v>926</v>
      </c>
      <c r="D215" s="14" t="s">
        <v>927</v>
      </c>
      <c r="E215" s="14" t="s">
        <v>5</v>
      </c>
      <c r="F215" s="14" t="s">
        <v>27</v>
      </c>
      <c r="G215" s="14" t="s">
        <v>90</v>
      </c>
      <c r="H215" s="14"/>
      <c r="I215" s="14" t="s">
        <v>928</v>
      </c>
      <c r="J215" s="14" t="s">
        <v>929</v>
      </c>
      <c r="K215" s="14" t="s">
        <v>47</v>
      </c>
    </row>
    <row r="216" customFormat="false" ht="15" hidden="false" customHeight="true" outlineLevel="0" collapsed="false">
      <c r="A216" s="14" t="s">
        <v>930</v>
      </c>
      <c r="B216" s="14" t="s">
        <v>15</v>
      </c>
      <c r="C216" s="14" t="s">
        <v>931</v>
      </c>
      <c r="D216" s="14" t="s">
        <v>932</v>
      </c>
      <c r="E216" s="14" t="s">
        <v>5</v>
      </c>
      <c r="F216" s="14" t="s">
        <v>29</v>
      </c>
      <c r="G216" s="14" t="s">
        <v>90</v>
      </c>
      <c r="H216" s="14"/>
      <c r="I216" s="14" t="s">
        <v>933</v>
      </c>
      <c r="J216" s="14"/>
      <c r="K216" s="14" t="s">
        <v>47</v>
      </c>
    </row>
    <row r="217" customFormat="false" ht="15" hidden="false" customHeight="true" outlineLevel="0" collapsed="false">
      <c r="A217" s="14" t="s">
        <v>934</v>
      </c>
      <c r="B217" s="14" t="s">
        <v>15</v>
      </c>
      <c r="C217" s="14" t="s">
        <v>935</v>
      </c>
      <c r="D217" s="14" t="s">
        <v>927</v>
      </c>
      <c r="E217" s="14" t="s">
        <v>5</v>
      </c>
      <c r="F217" s="14" t="s">
        <v>29</v>
      </c>
      <c r="G217" s="14" t="s">
        <v>90</v>
      </c>
      <c r="H217" s="14"/>
      <c r="I217" s="14" t="s">
        <v>936</v>
      </c>
      <c r="J217" s="14"/>
      <c r="K217" s="14" t="s">
        <v>47</v>
      </c>
    </row>
    <row r="218" customFormat="false" ht="15" hidden="false" customHeight="true" outlineLevel="0" collapsed="false">
      <c r="A218" s="14" t="s">
        <v>937</v>
      </c>
      <c r="B218" s="14" t="s">
        <v>15</v>
      </c>
      <c r="C218" s="14" t="s">
        <v>938</v>
      </c>
      <c r="D218" s="14" t="s">
        <v>927</v>
      </c>
      <c r="E218" s="14" t="s">
        <v>5</v>
      </c>
      <c r="F218" s="14" t="s">
        <v>27</v>
      </c>
      <c r="G218" s="14" t="s">
        <v>90</v>
      </c>
      <c r="H218" s="14"/>
      <c r="I218" s="14" t="s">
        <v>939</v>
      </c>
      <c r="J218" s="14" t="s">
        <v>940</v>
      </c>
      <c r="K218" s="14" t="s">
        <v>47</v>
      </c>
    </row>
    <row r="219" customFormat="false" ht="15" hidden="false" customHeight="true" outlineLevel="0" collapsed="false">
      <c r="A219" s="14" t="s">
        <v>941</v>
      </c>
      <c r="B219" s="14" t="s">
        <v>15</v>
      </c>
      <c r="C219" s="14" t="s">
        <v>942</v>
      </c>
      <c r="D219" s="14" t="s">
        <v>943</v>
      </c>
      <c r="E219" s="14" t="s">
        <v>5</v>
      </c>
      <c r="F219" s="14" t="s">
        <v>29</v>
      </c>
      <c r="G219" s="14" t="s">
        <v>45</v>
      </c>
      <c r="H219" s="14"/>
      <c r="I219" s="14" t="s">
        <v>944</v>
      </c>
      <c r="J219" s="14"/>
      <c r="K219" s="14" t="s">
        <v>47</v>
      </c>
    </row>
    <row r="220" customFormat="false" ht="15" hidden="false" customHeight="true" outlineLevel="0" collapsed="false">
      <c r="A220" s="14" t="s">
        <v>945</v>
      </c>
      <c r="B220" s="14" t="s">
        <v>15</v>
      </c>
      <c r="C220" s="14" t="s">
        <v>946</v>
      </c>
      <c r="D220" s="14" t="s">
        <v>947</v>
      </c>
      <c r="E220" s="14" t="s">
        <v>3</v>
      </c>
      <c r="F220" s="14" t="s">
        <v>25</v>
      </c>
      <c r="G220" s="14" t="s">
        <v>61</v>
      </c>
      <c r="H220" s="14" t="n">
        <v>14</v>
      </c>
      <c r="I220" s="14" t="s">
        <v>923</v>
      </c>
      <c r="J220" s="14" t="s">
        <v>948</v>
      </c>
      <c r="K220" s="14" t="s">
        <v>47</v>
      </c>
    </row>
    <row r="221" customFormat="false" ht="15" hidden="false" customHeight="true" outlineLevel="0" collapsed="false">
      <c r="A221" s="14" t="s">
        <v>949</v>
      </c>
      <c r="B221" s="14" t="s">
        <v>15</v>
      </c>
      <c r="C221" s="14" t="s">
        <v>950</v>
      </c>
      <c r="D221" s="14" t="s">
        <v>951</v>
      </c>
      <c r="E221" s="14" t="s">
        <v>5</v>
      </c>
      <c r="F221" s="14" t="s">
        <v>29</v>
      </c>
      <c r="G221" s="14" t="s">
        <v>90</v>
      </c>
      <c r="H221" s="14"/>
      <c r="I221" s="14" t="s">
        <v>952</v>
      </c>
      <c r="J221" s="14" t="s">
        <v>953</v>
      </c>
      <c r="K221" s="14" t="s">
        <v>47</v>
      </c>
    </row>
    <row r="222" customFormat="false" ht="15" hidden="false" customHeight="true" outlineLevel="0" collapsed="false">
      <c r="A222" s="14" t="s">
        <v>954</v>
      </c>
      <c r="B222" s="14" t="s">
        <v>15</v>
      </c>
      <c r="C222" s="14" t="s">
        <v>955</v>
      </c>
      <c r="D222" s="14" t="s">
        <v>956</v>
      </c>
      <c r="E222" s="14" t="s">
        <v>5</v>
      </c>
      <c r="F222" s="14" t="s">
        <v>29</v>
      </c>
      <c r="G222" s="14" t="s">
        <v>90</v>
      </c>
      <c r="H222" s="14"/>
      <c r="I222" s="14" t="s">
        <v>957</v>
      </c>
      <c r="J222" s="14"/>
      <c r="K222" s="14" t="s">
        <v>47</v>
      </c>
    </row>
    <row r="223" customFormat="false" ht="15" hidden="false" customHeight="true" outlineLevel="0" collapsed="false">
      <c r="A223" s="14" t="s">
        <v>958</v>
      </c>
      <c r="B223" s="14" t="s">
        <v>16</v>
      </c>
      <c r="C223" s="14" t="s">
        <v>959</v>
      </c>
      <c r="D223" s="14" t="s">
        <v>960</v>
      </c>
      <c r="E223" s="14" t="s">
        <v>5</v>
      </c>
      <c r="F223" s="14" t="s">
        <v>29</v>
      </c>
      <c r="G223" s="14" t="s">
        <v>45</v>
      </c>
      <c r="H223" s="14"/>
      <c r="I223" s="14"/>
      <c r="J223" s="14" t="s">
        <v>961</v>
      </c>
      <c r="K223" s="14" t="s">
        <v>47</v>
      </c>
    </row>
    <row r="224" customFormat="false" ht="15" hidden="false" customHeight="true" outlineLevel="0" collapsed="false">
      <c r="A224" s="14" t="s">
        <v>962</v>
      </c>
      <c r="B224" s="14" t="s">
        <v>16</v>
      </c>
      <c r="C224" s="14" t="s">
        <v>963</v>
      </c>
      <c r="D224" s="14" t="s">
        <v>964</v>
      </c>
      <c r="E224" s="14" t="s">
        <v>5</v>
      </c>
      <c r="F224" s="14" t="s">
        <v>27</v>
      </c>
      <c r="G224" s="14" t="s">
        <v>45</v>
      </c>
      <c r="H224" s="14"/>
      <c r="I224" s="14"/>
      <c r="J224" s="14"/>
      <c r="K224" s="14" t="s">
        <v>47</v>
      </c>
    </row>
    <row r="225" customFormat="false" ht="15" hidden="false" customHeight="true" outlineLevel="0" collapsed="false">
      <c r="A225" s="14" t="s">
        <v>965</v>
      </c>
      <c r="B225" s="14" t="s">
        <v>16</v>
      </c>
      <c r="C225" s="14" t="s">
        <v>966</v>
      </c>
      <c r="D225" s="14" t="s">
        <v>967</v>
      </c>
      <c r="E225" s="14" t="s">
        <v>5</v>
      </c>
      <c r="F225" s="14" t="s">
        <v>27</v>
      </c>
      <c r="G225" s="14" t="s">
        <v>90</v>
      </c>
      <c r="H225" s="14"/>
      <c r="I225" s="14"/>
      <c r="J225" s="14" t="s">
        <v>968</v>
      </c>
      <c r="K225" s="14" t="s">
        <v>47</v>
      </c>
    </row>
    <row r="226" customFormat="false" ht="15" hidden="false" customHeight="true" outlineLevel="0" collapsed="false">
      <c r="A226" s="14" t="s">
        <v>969</v>
      </c>
      <c r="B226" s="14" t="s">
        <v>16</v>
      </c>
      <c r="C226" s="14" t="s">
        <v>970</v>
      </c>
      <c r="D226" s="14" t="s">
        <v>971</v>
      </c>
      <c r="E226" s="14" t="s">
        <v>5</v>
      </c>
      <c r="F226" s="14" t="s">
        <v>29</v>
      </c>
      <c r="G226" s="14" t="s">
        <v>61</v>
      </c>
      <c r="H226" s="14"/>
      <c r="I226" s="14"/>
      <c r="J226" s="14"/>
      <c r="K226" s="14" t="s">
        <v>47</v>
      </c>
    </row>
    <row r="227" customFormat="false" ht="15" hidden="false" customHeight="true" outlineLevel="0" collapsed="false">
      <c r="A227" s="14" t="s">
        <v>972</v>
      </c>
      <c r="B227" s="14" t="s">
        <v>16</v>
      </c>
      <c r="C227" s="14" t="s">
        <v>973</v>
      </c>
      <c r="D227" s="14" t="s">
        <v>974</v>
      </c>
      <c r="E227" s="14" t="s">
        <v>5</v>
      </c>
      <c r="F227" s="14" t="s">
        <v>27</v>
      </c>
      <c r="G227" s="14" t="s">
        <v>45</v>
      </c>
      <c r="H227" s="14"/>
      <c r="I227" s="14"/>
      <c r="J227" s="14" t="s">
        <v>975</v>
      </c>
      <c r="K227" s="14" t="s">
        <v>47</v>
      </c>
    </row>
    <row r="228" customFormat="false" ht="15" hidden="false" customHeight="true" outlineLevel="0" collapsed="false">
      <c r="A228" s="14" t="s">
        <v>976</v>
      </c>
      <c r="B228" s="14" t="s">
        <v>16</v>
      </c>
      <c r="C228" s="14" t="s">
        <v>977</v>
      </c>
      <c r="D228" s="14" t="s">
        <v>978</v>
      </c>
      <c r="E228" s="14" t="s">
        <v>5</v>
      </c>
      <c r="F228" s="14" t="s">
        <v>25</v>
      </c>
      <c r="G228" s="14" t="s">
        <v>90</v>
      </c>
      <c r="H228" s="14"/>
      <c r="I228" s="14"/>
      <c r="J228" s="14" t="s">
        <v>979</v>
      </c>
      <c r="K228" s="14" t="s">
        <v>47</v>
      </c>
    </row>
    <row r="229" customFormat="false" ht="15" hidden="false" customHeight="true" outlineLevel="0" collapsed="false">
      <c r="A229" s="14" t="s">
        <v>980</v>
      </c>
      <c r="B229" s="14" t="s">
        <v>16</v>
      </c>
      <c r="C229" s="14" t="s">
        <v>981</v>
      </c>
      <c r="D229" s="14" t="s">
        <v>982</v>
      </c>
      <c r="E229" s="14" t="s">
        <v>5</v>
      </c>
      <c r="F229" s="14" t="s">
        <v>29</v>
      </c>
      <c r="G229" s="14" t="s">
        <v>45</v>
      </c>
      <c r="H229" s="14"/>
      <c r="I229" s="14"/>
      <c r="J229" s="14"/>
      <c r="K229" s="14" t="s">
        <v>47</v>
      </c>
    </row>
    <row r="230" customFormat="false" ht="15" hidden="false" customHeight="true" outlineLevel="0" collapsed="false">
      <c r="A230" s="14" t="s">
        <v>983</v>
      </c>
      <c r="B230" s="14" t="s">
        <v>16</v>
      </c>
      <c r="C230" s="14" t="s">
        <v>984</v>
      </c>
      <c r="D230" s="14" t="s">
        <v>985</v>
      </c>
      <c r="E230" s="14" t="s">
        <v>5</v>
      </c>
      <c r="F230" s="14" t="s">
        <v>27</v>
      </c>
      <c r="G230" s="14" t="s">
        <v>90</v>
      </c>
      <c r="H230" s="14"/>
      <c r="I230" s="14"/>
      <c r="J230" s="14" t="s">
        <v>986</v>
      </c>
      <c r="K230" s="14" t="s">
        <v>47</v>
      </c>
    </row>
    <row r="231" customFormat="false" ht="15" hidden="false" customHeight="true" outlineLevel="0" collapsed="false">
      <c r="A231" s="14" t="s">
        <v>987</v>
      </c>
      <c r="B231" s="14" t="s">
        <v>16</v>
      </c>
      <c r="C231" s="14" t="s">
        <v>988</v>
      </c>
      <c r="D231" s="14" t="s">
        <v>989</v>
      </c>
      <c r="E231" s="14" t="s">
        <v>5</v>
      </c>
      <c r="F231" s="14" t="s">
        <v>27</v>
      </c>
      <c r="G231" s="14" t="s">
        <v>61</v>
      </c>
      <c r="H231" s="14"/>
      <c r="I231" s="14"/>
      <c r="J231" s="14"/>
      <c r="K231" s="14" t="s">
        <v>47</v>
      </c>
    </row>
    <row r="232" customFormat="false" ht="15" hidden="false" customHeight="true" outlineLevel="0" collapsed="false">
      <c r="A232" s="14" t="s">
        <v>990</v>
      </c>
      <c r="B232" s="14" t="s">
        <v>16</v>
      </c>
      <c r="C232" s="14" t="s">
        <v>991</v>
      </c>
      <c r="D232" s="14" t="s">
        <v>992</v>
      </c>
      <c r="E232" s="14" t="s">
        <v>5</v>
      </c>
      <c r="F232" s="14" t="s">
        <v>29</v>
      </c>
      <c r="G232" s="14" t="s">
        <v>61</v>
      </c>
      <c r="H232" s="14"/>
      <c r="I232" s="14"/>
      <c r="J232" s="14" t="s">
        <v>993</v>
      </c>
      <c r="K232" s="14" t="s">
        <v>47</v>
      </c>
    </row>
    <row r="233" customFormat="false" ht="15" hidden="false" customHeight="true" outlineLevel="0" collapsed="false">
      <c r="A233" s="14" t="s">
        <v>994</v>
      </c>
      <c r="B233" s="14" t="s">
        <v>16</v>
      </c>
      <c r="C233" s="14" t="s">
        <v>995</v>
      </c>
      <c r="D233" s="14" t="s">
        <v>996</v>
      </c>
      <c r="E233" s="14" t="s">
        <v>5</v>
      </c>
      <c r="F233" s="14" t="s">
        <v>29</v>
      </c>
      <c r="G233" s="14" t="s">
        <v>45</v>
      </c>
      <c r="H233" s="14"/>
      <c r="I233" s="14"/>
      <c r="J233" s="14"/>
      <c r="K233" s="14" t="s">
        <v>47</v>
      </c>
    </row>
    <row r="234" customFormat="false" ht="15" hidden="false" customHeight="true" outlineLevel="0" collapsed="false">
      <c r="A234" s="14" t="s">
        <v>997</v>
      </c>
      <c r="B234" s="14" t="s">
        <v>16</v>
      </c>
      <c r="C234" s="14" t="s">
        <v>998</v>
      </c>
      <c r="D234" s="14" t="s">
        <v>999</v>
      </c>
      <c r="E234" s="14" t="s">
        <v>3</v>
      </c>
      <c r="F234" s="14" t="s">
        <v>27</v>
      </c>
      <c r="G234" s="14" t="s">
        <v>45</v>
      </c>
      <c r="H234" s="14"/>
      <c r="I234" s="14"/>
      <c r="J234" s="14" t="s">
        <v>1000</v>
      </c>
      <c r="K234" s="14" t="s">
        <v>47</v>
      </c>
    </row>
    <row r="235" customFormat="false" ht="15" hidden="false" customHeight="true" outlineLevel="0" collapsed="false">
      <c r="A235" s="14" t="s">
        <v>1001</v>
      </c>
      <c r="B235" s="14" t="s">
        <v>16</v>
      </c>
      <c r="C235" s="14" t="s">
        <v>1002</v>
      </c>
      <c r="D235" s="14" t="s">
        <v>999</v>
      </c>
      <c r="E235" s="14" t="s">
        <v>3</v>
      </c>
      <c r="F235" s="14" t="s">
        <v>25</v>
      </c>
      <c r="G235" s="14" t="s">
        <v>61</v>
      </c>
      <c r="H235" s="14"/>
      <c r="I235" s="14"/>
      <c r="J235" s="14" t="s">
        <v>1003</v>
      </c>
      <c r="K235" s="14" t="s">
        <v>47</v>
      </c>
    </row>
    <row r="236" customFormat="false" ht="15" hidden="false" customHeight="true" outlineLevel="0" collapsed="false">
      <c r="A236" s="14" t="s">
        <v>1004</v>
      </c>
      <c r="B236" s="14" t="s">
        <v>16</v>
      </c>
      <c r="C236" s="14" t="s">
        <v>1005</v>
      </c>
      <c r="D236" s="14" t="s">
        <v>992</v>
      </c>
      <c r="E236" s="14" t="s">
        <v>3</v>
      </c>
      <c r="F236" s="14" t="s">
        <v>25</v>
      </c>
      <c r="G236" s="14" t="s">
        <v>45</v>
      </c>
      <c r="H236" s="14"/>
      <c r="I236" s="14"/>
      <c r="J236" s="14" t="s">
        <v>1006</v>
      </c>
      <c r="K236" s="14" t="s">
        <v>47</v>
      </c>
    </row>
    <row r="237" customFormat="false" ht="15" hidden="false" customHeight="true" outlineLevel="0" collapsed="false">
      <c r="A237" s="14" t="s">
        <v>1007</v>
      </c>
      <c r="B237" s="14" t="s">
        <v>16</v>
      </c>
      <c r="C237" s="14" t="s">
        <v>1008</v>
      </c>
      <c r="D237" s="14" t="s">
        <v>1009</v>
      </c>
      <c r="E237" s="14" t="s">
        <v>3</v>
      </c>
      <c r="F237" s="14" t="s">
        <v>25</v>
      </c>
      <c r="G237" s="14" t="s">
        <v>90</v>
      </c>
      <c r="H237" s="14"/>
      <c r="I237" s="14"/>
      <c r="J237" s="14" t="s">
        <v>1010</v>
      </c>
      <c r="K237" s="14" t="s">
        <v>47</v>
      </c>
    </row>
    <row r="238" customFormat="false" ht="15" hidden="false" customHeight="true" outlineLevel="0" collapsed="false">
      <c r="A238" s="14" t="s">
        <v>1011</v>
      </c>
      <c r="B238" s="14" t="s">
        <v>16</v>
      </c>
      <c r="C238" s="14" t="s">
        <v>1012</v>
      </c>
      <c r="D238" s="14" t="s">
        <v>1013</v>
      </c>
      <c r="E238" s="14" t="s">
        <v>3</v>
      </c>
      <c r="F238" s="14" t="s">
        <v>25</v>
      </c>
      <c r="G238" s="14" t="s">
        <v>45</v>
      </c>
      <c r="H238" s="14"/>
      <c r="I238" s="14"/>
      <c r="J238" s="14" t="s">
        <v>1010</v>
      </c>
      <c r="K238" s="14" t="s">
        <v>47</v>
      </c>
    </row>
    <row r="239" customFormat="false" ht="23.25" hidden="false" customHeight="true" outlineLevel="0" collapsed="false">
      <c r="A239" s="14" t="s">
        <v>1014</v>
      </c>
      <c r="B239" s="14" t="s">
        <v>17</v>
      </c>
      <c r="C239" s="14" t="s">
        <v>1015</v>
      </c>
      <c r="D239" s="14" t="s">
        <v>1016</v>
      </c>
      <c r="E239" s="14" t="s">
        <v>6</v>
      </c>
      <c r="F239" s="14" t="s">
        <v>23</v>
      </c>
      <c r="G239" s="14" t="s">
        <v>61</v>
      </c>
      <c r="H239" s="14" t="n">
        <v>1</v>
      </c>
      <c r="I239" s="14"/>
      <c r="J239" s="14" t="s">
        <v>1017</v>
      </c>
      <c r="K239" s="14" t="s">
        <v>47</v>
      </c>
    </row>
    <row r="240" customFormat="false" ht="15" hidden="false" customHeight="true" outlineLevel="0" collapsed="false">
      <c r="A240" s="14" t="s">
        <v>1018</v>
      </c>
      <c r="B240" s="14" t="s">
        <v>17</v>
      </c>
      <c r="C240" s="14" t="s">
        <v>1019</v>
      </c>
      <c r="D240" s="14" t="s">
        <v>1020</v>
      </c>
      <c r="E240" s="14" t="s">
        <v>6</v>
      </c>
      <c r="F240" s="14" t="s">
        <v>23</v>
      </c>
      <c r="G240" s="14" t="s">
        <v>61</v>
      </c>
      <c r="H240" s="14" t="n">
        <v>1</v>
      </c>
      <c r="I240" s="14"/>
      <c r="J240" s="14" t="s">
        <v>1021</v>
      </c>
      <c r="K240" s="14" t="s">
        <v>47</v>
      </c>
    </row>
    <row r="241" customFormat="false" ht="15" hidden="false" customHeight="true" outlineLevel="0" collapsed="false">
      <c r="A241" s="14" t="s">
        <v>1022</v>
      </c>
      <c r="B241" s="14" t="s">
        <v>17</v>
      </c>
      <c r="C241" s="14" t="s">
        <v>1023</v>
      </c>
      <c r="D241" s="14" t="s">
        <v>1024</v>
      </c>
      <c r="E241" s="14" t="s">
        <v>6</v>
      </c>
      <c r="F241" s="14" t="s">
        <v>23</v>
      </c>
      <c r="G241" s="14" t="s">
        <v>61</v>
      </c>
      <c r="H241" s="14" t="n">
        <v>1</v>
      </c>
      <c r="I241" s="14"/>
      <c r="J241" s="14" t="s">
        <v>1025</v>
      </c>
      <c r="K241" s="14" t="s">
        <v>47</v>
      </c>
    </row>
    <row r="242" customFormat="false" ht="23.25" hidden="false" customHeight="true" outlineLevel="0" collapsed="false">
      <c r="A242" s="14" t="s">
        <v>1026</v>
      </c>
      <c r="B242" s="14" t="s">
        <v>17</v>
      </c>
      <c r="C242" s="14" t="s">
        <v>1027</v>
      </c>
      <c r="D242" s="14" t="s">
        <v>1028</v>
      </c>
      <c r="E242" s="14" t="s">
        <v>3</v>
      </c>
      <c r="F242" s="14" t="s">
        <v>23</v>
      </c>
      <c r="G242" s="14" t="s">
        <v>45</v>
      </c>
      <c r="H242" s="14" t="n">
        <v>2</v>
      </c>
      <c r="I242" s="14"/>
      <c r="J242" s="14" t="s">
        <v>1029</v>
      </c>
      <c r="K242" s="14" t="s">
        <v>47</v>
      </c>
    </row>
    <row r="243" customFormat="false" ht="15" hidden="false" customHeight="true" outlineLevel="0" collapsed="false">
      <c r="A243" s="14" t="s">
        <v>1030</v>
      </c>
      <c r="B243" s="14" t="s">
        <v>17</v>
      </c>
      <c r="C243" s="14" t="s">
        <v>1031</v>
      </c>
      <c r="D243" s="14" t="s">
        <v>1032</v>
      </c>
      <c r="E243" s="14" t="s">
        <v>3</v>
      </c>
      <c r="F243" s="14" t="s">
        <v>23</v>
      </c>
      <c r="G243" s="14" t="s">
        <v>61</v>
      </c>
      <c r="H243" s="14" t="n">
        <v>2</v>
      </c>
      <c r="I243" s="14"/>
      <c r="J243" s="14" t="s">
        <v>1033</v>
      </c>
      <c r="K243" s="14" t="s">
        <v>47</v>
      </c>
    </row>
    <row r="244" customFormat="false" ht="15" hidden="false" customHeight="true" outlineLevel="0" collapsed="false">
      <c r="A244" s="14" t="s">
        <v>1034</v>
      </c>
      <c r="B244" s="14" t="s">
        <v>17</v>
      </c>
      <c r="C244" s="14" t="s">
        <v>1035</v>
      </c>
      <c r="D244" s="14" t="s">
        <v>1036</v>
      </c>
      <c r="E244" s="14" t="s">
        <v>4</v>
      </c>
      <c r="F244" s="14" t="s">
        <v>23</v>
      </c>
      <c r="G244" s="14" t="s">
        <v>45</v>
      </c>
      <c r="H244" s="14" t="n">
        <v>2</v>
      </c>
      <c r="I244" s="14"/>
      <c r="J244" s="14" t="s">
        <v>1037</v>
      </c>
      <c r="K244" s="14" t="s">
        <v>47</v>
      </c>
    </row>
    <row r="245" customFormat="false" ht="15" hidden="false" customHeight="true" outlineLevel="0" collapsed="false">
      <c r="A245" s="14" t="s">
        <v>1038</v>
      </c>
      <c r="B245" s="14" t="s">
        <v>17</v>
      </c>
      <c r="C245" s="14" t="s">
        <v>1039</v>
      </c>
      <c r="D245" s="14" t="s">
        <v>1040</v>
      </c>
      <c r="E245" s="14" t="s">
        <v>6</v>
      </c>
      <c r="F245" s="14" t="s">
        <v>23</v>
      </c>
      <c r="G245" s="14" t="s">
        <v>61</v>
      </c>
      <c r="H245" s="14" t="n">
        <v>1</v>
      </c>
      <c r="I245" s="14"/>
      <c r="J245" s="14" t="s">
        <v>1041</v>
      </c>
      <c r="K245" s="14" t="s">
        <v>47</v>
      </c>
    </row>
    <row r="246" customFormat="false" ht="15" hidden="false" customHeight="true" outlineLevel="0" collapsed="false">
      <c r="A246" s="14" t="s">
        <v>1042</v>
      </c>
      <c r="B246" s="14" t="s">
        <v>17</v>
      </c>
      <c r="C246" s="14" t="s">
        <v>1043</v>
      </c>
      <c r="D246" s="14" t="s">
        <v>1044</v>
      </c>
      <c r="E246" s="14" t="s">
        <v>6</v>
      </c>
      <c r="F246" s="14" t="s">
        <v>23</v>
      </c>
      <c r="G246" s="14" t="s">
        <v>45</v>
      </c>
      <c r="H246" s="14"/>
      <c r="I246" s="14"/>
      <c r="J246" s="14" t="s">
        <v>1045</v>
      </c>
      <c r="K246" s="14" t="s">
        <v>47</v>
      </c>
    </row>
    <row r="247" customFormat="false" ht="15" hidden="false" customHeight="true" outlineLevel="0" collapsed="false">
      <c r="A247" s="14" t="s">
        <v>1046</v>
      </c>
      <c r="B247" s="14" t="s">
        <v>17</v>
      </c>
      <c r="C247" s="14" t="s">
        <v>1047</v>
      </c>
      <c r="D247" s="14" t="s">
        <v>1024</v>
      </c>
      <c r="E247" s="14" t="s">
        <v>5</v>
      </c>
      <c r="F247" s="14" t="s">
        <v>23</v>
      </c>
      <c r="G247" s="14" t="s">
        <v>45</v>
      </c>
      <c r="H247" s="14"/>
      <c r="I247" s="14"/>
      <c r="J247" s="14" t="s">
        <v>1048</v>
      </c>
      <c r="K247" s="14" t="s">
        <v>47</v>
      </c>
    </row>
    <row r="248" customFormat="false" ht="15" hidden="false" customHeight="true" outlineLevel="0" collapsed="false">
      <c r="A248" s="14" t="s">
        <v>1049</v>
      </c>
      <c r="B248" s="14" t="s">
        <v>17</v>
      </c>
      <c r="C248" s="14" t="s">
        <v>1050</v>
      </c>
      <c r="D248" s="14" t="s">
        <v>1036</v>
      </c>
      <c r="E248" s="14" t="s">
        <v>5</v>
      </c>
      <c r="F248" s="14" t="s">
        <v>25</v>
      </c>
      <c r="G248" s="14" t="s">
        <v>45</v>
      </c>
      <c r="H248" s="14"/>
      <c r="I248" s="14"/>
      <c r="J248" s="14"/>
      <c r="K248" s="14" t="s">
        <v>47</v>
      </c>
    </row>
    <row r="249" customFormat="false" ht="15" hidden="false" customHeight="true" outlineLevel="0" collapsed="false">
      <c r="A249" s="14" t="s">
        <v>1051</v>
      </c>
      <c r="B249" s="14" t="s">
        <v>17</v>
      </c>
      <c r="C249" s="14" t="s">
        <v>1052</v>
      </c>
      <c r="D249" s="14" t="s">
        <v>1053</v>
      </c>
      <c r="E249" s="14" t="s">
        <v>5</v>
      </c>
      <c r="F249" s="14" t="s">
        <v>25</v>
      </c>
      <c r="G249" s="14" t="s">
        <v>45</v>
      </c>
      <c r="H249" s="14"/>
      <c r="I249" s="14"/>
      <c r="J249" s="14" t="s">
        <v>1054</v>
      </c>
      <c r="K249" s="14" t="s">
        <v>47</v>
      </c>
    </row>
    <row r="250" customFormat="false" ht="15" hidden="false" customHeight="true" outlineLevel="0" collapsed="false">
      <c r="A250" s="14" t="s">
        <v>1055</v>
      </c>
      <c r="B250" s="14" t="s">
        <v>17</v>
      </c>
      <c r="C250" s="14" t="s">
        <v>1056</v>
      </c>
      <c r="D250" s="14" t="s">
        <v>1036</v>
      </c>
      <c r="E250" s="14" t="s">
        <v>4</v>
      </c>
      <c r="F250" s="14" t="s">
        <v>25</v>
      </c>
      <c r="G250" s="14" t="s">
        <v>45</v>
      </c>
      <c r="H250" s="14"/>
      <c r="I250" s="14"/>
      <c r="J250" s="14" t="s">
        <v>1057</v>
      </c>
      <c r="K250" s="14" t="s">
        <v>47</v>
      </c>
    </row>
    <row r="251" customFormat="false" ht="15" hidden="false" customHeight="true" outlineLevel="0" collapsed="false">
      <c r="A251" s="14" t="s">
        <v>1058</v>
      </c>
      <c r="B251" s="14" t="s">
        <v>17</v>
      </c>
      <c r="C251" s="14" t="s">
        <v>1059</v>
      </c>
      <c r="D251" s="14" t="s">
        <v>1036</v>
      </c>
      <c r="E251" s="14" t="s">
        <v>5</v>
      </c>
      <c r="F251" s="14" t="s">
        <v>27</v>
      </c>
      <c r="G251" s="14" t="s">
        <v>45</v>
      </c>
      <c r="H251" s="14"/>
      <c r="I251" s="14"/>
      <c r="J251" s="14"/>
      <c r="K251" s="14" t="s">
        <v>47</v>
      </c>
    </row>
    <row r="252" customFormat="false" ht="15" hidden="false" customHeight="true" outlineLevel="0" collapsed="false">
      <c r="A252" s="14" t="s">
        <v>1060</v>
      </c>
      <c r="B252" s="14" t="s">
        <v>17</v>
      </c>
      <c r="C252" s="14" t="s">
        <v>1061</v>
      </c>
      <c r="D252" s="14" t="s">
        <v>1036</v>
      </c>
      <c r="E252" s="14" t="s">
        <v>5</v>
      </c>
      <c r="F252" s="14" t="s">
        <v>27</v>
      </c>
      <c r="G252" s="14" t="s">
        <v>45</v>
      </c>
      <c r="H252" s="14"/>
      <c r="I252" s="14"/>
      <c r="J252" s="14"/>
      <c r="K252" s="14" t="s">
        <v>47</v>
      </c>
    </row>
    <row r="253" customFormat="false" ht="23.25" hidden="false" customHeight="true" outlineLevel="0" collapsed="false">
      <c r="A253" s="14" t="s">
        <v>1062</v>
      </c>
      <c r="B253" s="14" t="s">
        <v>17</v>
      </c>
      <c r="C253" s="14" t="s">
        <v>1063</v>
      </c>
      <c r="D253" s="14" t="s">
        <v>1064</v>
      </c>
      <c r="E253" s="14" t="s">
        <v>5</v>
      </c>
      <c r="F253" s="14" t="s">
        <v>27</v>
      </c>
      <c r="G253" s="14" t="s">
        <v>90</v>
      </c>
      <c r="H253" s="14"/>
      <c r="I253" s="14"/>
      <c r="J253" s="14" t="s">
        <v>1065</v>
      </c>
      <c r="K253" s="14" t="s">
        <v>47</v>
      </c>
    </row>
    <row r="254" customFormat="false" ht="15" hidden="false" customHeight="true" outlineLevel="0" collapsed="false">
      <c r="A254" s="14" t="s">
        <v>1066</v>
      </c>
      <c r="B254" s="14" t="s">
        <v>17</v>
      </c>
      <c r="C254" s="14" t="s">
        <v>1067</v>
      </c>
      <c r="D254" s="14" t="s">
        <v>1068</v>
      </c>
      <c r="E254" s="14" t="s">
        <v>6</v>
      </c>
      <c r="F254" s="14" t="s">
        <v>23</v>
      </c>
      <c r="G254" s="14" t="s">
        <v>61</v>
      </c>
      <c r="H254" s="14" t="n">
        <v>1</v>
      </c>
      <c r="I254" s="14"/>
      <c r="J254" s="14" t="s">
        <v>1021</v>
      </c>
      <c r="K254" s="14" t="s">
        <v>47</v>
      </c>
    </row>
    <row r="255" customFormat="false" ht="23.25" hidden="false" customHeight="true" outlineLevel="0" collapsed="false">
      <c r="A255" s="14" t="s">
        <v>1069</v>
      </c>
      <c r="B255" s="14" t="s">
        <v>17</v>
      </c>
      <c r="C255" s="14" t="s">
        <v>1070</v>
      </c>
      <c r="D255" s="14" t="s">
        <v>1071</v>
      </c>
      <c r="E255" s="14" t="s">
        <v>3</v>
      </c>
      <c r="F255" s="14" t="s">
        <v>23</v>
      </c>
      <c r="G255" s="14" t="s">
        <v>61</v>
      </c>
      <c r="H255" s="14"/>
      <c r="I255" s="14"/>
      <c r="J255" s="14" t="s">
        <v>1072</v>
      </c>
      <c r="K255" s="14" t="s">
        <v>47</v>
      </c>
    </row>
  </sheetData>
  <autoFilter ref="A1:K255"/>
  <conditionalFormatting sqref="E2:E253">
    <cfRule type="cellIs" priority="2" operator="equal" aboveAverage="0" equalAverage="0" bottom="0" percent="0" rank="0" text="" dxfId="8">
      <formula>"Done"</formula>
    </cfRule>
    <cfRule type="cellIs" priority="3" operator="equal" aboveAverage="0" equalAverage="0" bottom="0" percent="0" rank="0" text="" dxfId="9">
      <formula>"Partial"</formula>
    </cfRule>
    <cfRule type="cellIs" priority="4" operator="equal" aboveAverage="0" equalAverage="0" bottom="0" percent="0" rank="0" text="" dxfId="10">
      <formula>"Pending"</formula>
    </cfRule>
    <cfRule type="cellIs" priority="5" operator="equal" aboveAverage="0" equalAverage="0" bottom="0" percent="0" rank="0" text="" dxfId="11">
      <formula>"Blocked"</formula>
    </cfRule>
    <cfRule type="cellIs" priority="6" operator="equal" aboveAverage="0" equalAverage="0" bottom="0" percent="0" rank="0" text="" dxfId="12">
      <formula>"Not planned"</formula>
    </cfRule>
  </conditionalFormatting>
  <dataValidations count="3">
    <dataValidation allowBlank="false" errorStyle="stop" operator="between" showDropDown="false" showErrorMessage="false" showInputMessage="false" sqref="E2:E255" type="list">
      <formula1>"Done,Partial,Pending,Blocked,Not planned"</formula1>
      <formula2>0</formula2>
    </dataValidation>
    <dataValidation allowBlank="false" errorStyle="stop" operator="between" showDropDown="false" showErrorMessage="false" showInputMessage="false" sqref="F2:F255" type="list">
      <formula1>"P0,P1,P2,P3"</formula1>
      <formula2>0</formula2>
    </dataValidation>
    <dataValidation allowBlank="false" errorStyle="stop" operator="between" showDropDown="false" showErrorMessage="false" showInputMessage="false" sqref="G2:G255" type="list">
      <formula1>"S,M,L"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8"/>
    <col collapsed="false" customWidth="true" hidden="false" outlineLevel="0" max="3" min="3" style="1" width="54"/>
    <col collapsed="false" customWidth="true" hidden="false" outlineLevel="0" max="4" min="4" style="1" width="26"/>
    <col collapsed="false" customWidth="true" hidden="false" outlineLevel="0" max="5" min="5" style="1" width="9"/>
    <col collapsed="false" customWidth="true" hidden="false" outlineLevel="0" max="6" min="6" style="1" width="8"/>
    <col collapsed="false" customWidth="true" hidden="false" outlineLevel="0" max="7" min="7" style="1" width="13"/>
    <col collapsed="false" customWidth="true" hidden="false" outlineLevel="0" max="8" min="8" style="1" width="60"/>
  </cols>
  <sheetData>
    <row r="1" customFormat="false" ht="15" hidden="false" customHeight="true" outlineLevel="0" collapsed="false">
      <c r="A1" s="15" t="s">
        <v>1073</v>
      </c>
      <c r="B1" s="15" t="s">
        <v>33</v>
      </c>
      <c r="C1" s="15" t="s">
        <v>34</v>
      </c>
      <c r="D1" s="15" t="s">
        <v>2</v>
      </c>
      <c r="E1" s="15" t="s">
        <v>20</v>
      </c>
      <c r="F1" s="15" t="s">
        <v>37</v>
      </c>
      <c r="G1" s="15" t="s">
        <v>36</v>
      </c>
      <c r="H1" s="15" t="s">
        <v>40</v>
      </c>
    </row>
    <row r="2" customFormat="false" ht="23.25" hidden="false" customHeight="true" outlineLevel="0" collapsed="false">
      <c r="A2" s="14" t="n">
        <v>1</v>
      </c>
      <c r="B2" s="14" t="s">
        <v>1014</v>
      </c>
      <c r="C2" s="14" t="str">
        <f aca="false">INDEX('Parity Tracker'!$C$2:$C$255,MATCH($B2,'Parity Tracker'!$A$2:$A$255,0))</f>
        <v>Run supabase/profiles_rls.sql (closes the open profiles table)</v>
      </c>
      <c r="D2" s="14" t="str">
        <f aca="false">INDEX('Parity Tracker'!$B$2:$B$255,MATCH($B2,'Parity Tracker'!$A$2:$A$255,0))</f>
        <v>Release readiness</v>
      </c>
      <c r="E2" s="14" t="str">
        <f aca="false">INDEX('Parity Tracker'!$F$2:$F$255,MATCH($B2,'Parity Tracker'!$A$2:$A$255,0))</f>
        <v>P0</v>
      </c>
      <c r="F2" s="14" t="str">
        <f aca="false">INDEX('Parity Tracker'!$G$2:$G$255,MATCH($B2,'Parity Tracker'!$A$2:$A$255,0))</f>
        <v>S</v>
      </c>
      <c r="G2" s="14" t="str">
        <f aca="false">INDEX('Parity Tracker'!$E$2:$E$255,MATCH($B2,'Parity Tracker'!$A$2:$A$255,0))</f>
        <v>Blocked</v>
      </c>
      <c r="H2" s="14" t="str">
        <f aca="false">INDEX('Parity Tracker'!$J$2:$J$255,MATCH($B2,'Parity Tracker'!$A$2:$A$255,0))</f>
        <v>Needs the user's Supabase dashboard login — 13 profile rows were readable with the public key</v>
      </c>
    </row>
    <row r="3" customFormat="false" ht="15" hidden="false" customHeight="true" outlineLevel="0" collapsed="false">
      <c r="A3" s="14" t="n">
        <v>1</v>
      </c>
      <c r="B3" s="14" t="s">
        <v>1018</v>
      </c>
      <c r="C3" s="14" t="str">
        <f aca="false">INDEX('Parity Tracker'!$C$2:$C$255,MATCH($B3,'Parity Tracker'!$A$2:$A$255,0))</f>
        <v>Run core_tables.sql, holdings.sql, tracker_snapshot.sql</v>
      </c>
      <c r="D3" s="14" t="str">
        <f aca="false">INDEX('Parity Tracker'!$B$2:$B$255,MATCH($B3,'Parity Tracker'!$A$2:$A$255,0))</f>
        <v>Release readiness</v>
      </c>
      <c r="E3" s="14" t="str">
        <f aca="false">INDEX('Parity Tracker'!$F$2:$F$255,MATCH($B3,'Parity Tracker'!$A$2:$A$255,0))</f>
        <v>P0</v>
      </c>
      <c r="F3" s="14" t="str">
        <f aca="false">INDEX('Parity Tracker'!$G$2:$G$255,MATCH($B3,'Parity Tracker'!$A$2:$A$255,0))</f>
        <v>S</v>
      </c>
      <c r="G3" s="14" t="str">
        <f aca="false">INDEX('Parity Tracker'!$E$2:$E$255,MATCH($B3,'Parity Tracker'!$A$2:$A$255,0))</f>
        <v>Blocked</v>
      </c>
      <c r="H3" s="14" t="str">
        <f aca="false">INDEX('Parity Tracker'!$J$2:$J$255,MATCH($B3,'Parity Tracker'!$A$2:$A$255,0))</f>
        <v>Needs the user's Supabase dashboard login</v>
      </c>
    </row>
    <row r="4" customFormat="false" ht="15" hidden="false" customHeight="true" outlineLevel="0" collapsed="false">
      <c r="A4" s="14" t="n">
        <v>1</v>
      </c>
      <c r="B4" s="14" t="s">
        <v>1022</v>
      </c>
      <c r="C4" s="14" t="str">
        <f aca="false">INDEX('Parity Tracker'!$C$2:$C$255,MATCH($B4,'Parity Tracker'!$A$2:$A$255,0))</f>
        <v>Real sign-in + sync test on the live project</v>
      </c>
      <c r="D4" s="14" t="str">
        <f aca="false">INDEX('Parity Tracker'!$B$2:$B$255,MATCH($B4,'Parity Tracker'!$A$2:$A$255,0))</f>
        <v>Release readiness</v>
      </c>
      <c r="E4" s="14" t="str">
        <f aca="false">INDEX('Parity Tracker'!$F$2:$F$255,MATCH($B4,'Parity Tracker'!$A$2:$A$255,0))</f>
        <v>P0</v>
      </c>
      <c r="F4" s="14" t="str">
        <f aca="false">INDEX('Parity Tracker'!$G$2:$G$255,MATCH($B4,'Parity Tracker'!$A$2:$A$255,0))</f>
        <v>S</v>
      </c>
      <c r="G4" s="14" t="str">
        <f aca="false">INDEX('Parity Tracker'!$E$2:$E$255,MATCH($B4,'Parity Tracker'!$A$2:$A$255,0))</f>
        <v>Blocked</v>
      </c>
      <c r="H4" s="14" t="str">
        <f aca="false">INDEX('Parity Tracker'!$J$2:$J$255,MATCH($B4,'Parity Tracker'!$A$2:$A$255,0))</f>
        <v>Needs the SQL above and the user's credentials</v>
      </c>
    </row>
    <row r="5" customFormat="false" ht="15" hidden="false" customHeight="true" outlineLevel="0" collapsed="false">
      <c r="A5" s="14" t="n">
        <v>1</v>
      </c>
      <c r="B5" s="14" t="s">
        <v>1038</v>
      </c>
      <c r="C5" s="14" t="str">
        <f aca="false">INDEX('Parity Tracker'!$C$2:$C$255,MATCH($B5,'Parity Tracker'!$A$2:$A$255,0))</f>
        <v>Restart Arya backend (new key + sector route)</v>
      </c>
      <c r="D5" s="14" t="str">
        <f aca="false">INDEX('Parity Tracker'!$B$2:$B$255,MATCH($B5,'Parity Tracker'!$A$2:$A$255,0))</f>
        <v>Release readiness</v>
      </c>
      <c r="E5" s="14" t="str">
        <f aca="false">INDEX('Parity Tracker'!$F$2:$F$255,MATCH($B5,'Parity Tracker'!$A$2:$A$255,0))</f>
        <v>P0</v>
      </c>
      <c r="F5" s="14" t="str">
        <f aca="false">INDEX('Parity Tracker'!$G$2:$G$255,MATCH($B5,'Parity Tracker'!$A$2:$A$255,0))</f>
        <v>S</v>
      </c>
      <c r="G5" s="14" t="str">
        <f aca="false">INDEX('Parity Tracker'!$E$2:$E$255,MATCH($B5,'Parity Tracker'!$A$2:$A$255,0))</f>
        <v>Blocked</v>
      </c>
      <c r="H5" s="14" t="str">
        <f aca="false">INDEX('Parity Tracker'!$J$2:$J$255,MATCH($B5,'Parity Tracker'!$A$2:$A$255,0))</f>
        <v>Old process is still running without the new code</v>
      </c>
    </row>
    <row r="6" customFormat="false" ht="23.25" hidden="false" customHeight="true" outlineLevel="0" collapsed="false">
      <c r="A6" s="14" t="n">
        <v>2</v>
      </c>
      <c r="B6" s="14" t="s">
        <v>1026</v>
      </c>
      <c r="C6" s="14" t="str">
        <f aca="false">INDEX('Parity Tracker'!$C$2:$C$255,MATCH($B6,'Parity Tracker'!$A$2:$A$255,0))</f>
        <v>Privacy &amp; consent screen (what is stored, what is shared, switches)</v>
      </c>
      <c r="D6" s="14" t="str">
        <f aca="false">INDEX('Parity Tracker'!$B$2:$B$255,MATCH($B6,'Parity Tracker'!$A$2:$A$255,0))</f>
        <v>Release readiness</v>
      </c>
      <c r="E6" s="14" t="str">
        <f aca="false">INDEX('Parity Tracker'!$F$2:$F$255,MATCH($B6,'Parity Tracker'!$A$2:$A$255,0))</f>
        <v>P0</v>
      </c>
      <c r="F6" s="14" t="str">
        <f aca="false">INDEX('Parity Tracker'!$G$2:$G$255,MATCH($B6,'Parity Tracker'!$A$2:$A$255,0))</f>
        <v>M</v>
      </c>
      <c r="G6" s="14" t="str">
        <f aca="false">INDEX('Parity Tracker'!$E$2:$E$255,MATCH($B6,'Parity Tracker'!$A$2:$A$255,0))</f>
        <v>Done</v>
      </c>
      <c r="H6" s="14" t="str">
        <f aca="false">INDEX('Parity Tracker'!$J$2:$J$255,MATCH($B6,'Parity Tracker'!$A$2:$A$255,0))</f>
        <v>Built: what is on the phone (live counts), every data flow, never-do list, permissions, export / erase. Guard tests fail if a new host or permission appears. Operator details left blank on purpose.</v>
      </c>
    </row>
    <row r="7" customFormat="false" ht="15" hidden="false" customHeight="true" outlineLevel="0" collapsed="false">
      <c r="A7" s="14" t="n">
        <v>2</v>
      </c>
      <c r="B7" s="14" t="s">
        <v>1030</v>
      </c>
      <c r="C7" s="14" t="str">
        <f aca="false">INDEX('Parity Tracker'!$C$2:$C$255,MATCH($B7,'Parity Tracker'!$A$2:$A$255,0))</f>
        <v>Terms of use screen</v>
      </c>
      <c r="D7" s="14" t="str">
        <f aca="false">INDEX('Parity Tracker'!$B$2:$B$255,MATCH($B7,'Parity Tracker'!$A$2:$A$255,0))</f>
        <v>Release readiness</v>
      </c>
      <c r="E7" s="14" t="str">
        <f aca="false">INDEX('Parity Tracker'!$F$2:$F$255,MATCH($B7,'Parity Tracker'!$A$2:$A$255,0))</f>
        <v>P0</v>
      </c>
      <c r="F7" s="14" t="str">
        <f aca="false">INDEX('Parity Tracker'!$G$2:$G$255,MATCH($B7,'Parity Tracker'!$A$2:$A$255,0))</f>
        <v>S</v>
      </c>
      <c r="G7" s="14" t="str">
        <f aca="false">INDEX('Parity Tracker'!$E$2:$E$255,MATCH($B7,'Parity Tracker'!$A$2:$A$255,0))</f>
        <v>Done</v>
      </c>
      <c r="H7" s="14" t="str">
        <f aca="false">INDEX('Parity Tracker'!$J$2:$J$255,MATCH($B7,'Parity Tracker'!$A$2:$A$255,0))</f>
        <v>Port of html/terms.html, kept as a draft for legal review; operator/liability/law not invented.</v>
      </c>
    </row>
    <row r="8" customFormat="false" ht="15" hidden="false" customHeight="true" outlineLevel="0" collapsed="false">
      <c r="A8" s="14" t="n">
        <v>2</v>
      </c>
      <c r="B8" s="14" t="s">
        <v>1034</v>
      </c>
      <c r="C8" s="14" t="str">
        <f aca="false">INDEX('Parity Tracker'!$C$2:$C$255,MATCH($B8,'Parity Tracker'!$A$2:$A$255,0))</f>
        <v>Account deletion + data erase</v>
      </c>
      <c r="D8" s="14" t="str">
        <f aca="false">INDEX('Parity Tracker'!$B$2:$B$255,MATCH($B8,'Parity Tracker'!$A$2:$A$255,0))</f>
        <v>Release readiness</v>
      </c>
      <c r="E8" s="14" t="str">
        <f aca="false">INDEX('Parity Tracker'!$F$2:$F$255,MATCH($B8,'Parity Tracker'!$A$2:$A$255,0))</f>
        <v>P0</v>
      </c>
      <c r="F8" s="14" t="str">
        <f aca="false">INDEX('Parity Tracker'!$G$2:$G$255,MATCH($B8,'Parity Tracker'!$A$2:$A$255,0))</f>
        <v>M</v>
      </c>
      <c r="G8" s="14" t="str">
        <f aca="false">INDEX('Parity Tracker'!$E$2:$E$255,MATCH($B8,'Parity Tracker'!$A$2:$A$255,0))</f>
        <v>Partial</v>
      </c>
      <c r="H8" s="14" t="str">
        <f aca="false">INDEX('Parity Tracker'!$J$2:$J$255,MATCH($B8,'Parity Tracker'!$A$2:$A$255,0))</f>
        <v>App side built and tested (erase phone, delete cloud copy, delete account via RPC). Needs supabase/delete_account.sql run on the live project before 'Delete my account' works.</v>
      </c>
    </row>
    <row r="9" customFormat="false" ht="15" hidden="false" customHeight="true" outlineLevel="0" collapsed="false">
      <c r="A9" s="14" t="n">
        <v>3</v>
      </c>
      <c r="B9" s="14" t="s">
        <v>161</v>
      </c>
      <c r="C9" s="14" t="str">
        <f aca="false">INDEX('Parity Tracker'!$C$2:$C$255,MATCH($B9,'Parity Tracker'!$A$2:$A$255,0))</f>
        <v>Retirement Planner (Monte Carlo success odds)</v>
      </c>
      <c r="D9" s="14" t="str">
        <f aca="false">INDEX('Parity Tracker'!$B$2:$B$255,MATCH($B9,'Parity Tracker'!$A$2:$A$255,0))</f>
        <v>Trackers &amp; planners</v>
      </c>
      <c r="E9" s="14" t="str">
        <f aca="false">INDEX('Parity Tracker'!$F$2:$F$255,MATCH($B9,'Parity Tracker'!$A$2:$A$255,0))</f>
        <v>P1</v>
      </c>
      <c r="F9" s="14" t="str">
        <f aca="false">INDEX('Parity Tracker'!$G$2:$G$255,MATCH($B9,'Parity Tracker'!$A$2:$A$255,0))</f>
        <v>L</v>
      </c>
      <c r="G9" s="14" t="str">
        <f aca="false">INDEX('Parity Tracker'!$E$2:$E$255,MATCH($B9,'Parity Tracker'!$A$2:$A$255,0))</f>
        <v>Done</v>
      </c>
      <c r="H9" s="14" t="str">
        <f aca="false">INDEX('Parity Tracker'!$J$2:$J$255,MATCH($B9,'Parity Tracker'!$A$2:$A$255,0))</f>
        <v>Built: corpus by source, 25× need, gap, income, Monte Carlo odds, fan chart, SIP solver. Engine identical to js/finos-montecarlo.js (40 random configs) and plan arithmetic identical on 400 random profiles.</v>
      </c>
    </row>
    <row r="10" customFormat="false" ht="15" hidden="false" customHeight="true" outlineLevel="0" collapsed="false">
      <c r="A10" s="14" t="n">
        <v>4</v>
      </c>
      <c r="B10" s="14" t="s">
        <v>186</v>
      </c>
      <c r="C10" s="14" t="str">
        <f aca="false">INDEX('Parity Tracker'!$C$2:$C$255,MATCH($B10,'Parity Tracker'!$A$2:$A$255,0))</f>
        <v>Tax (regime compare, Tax Savings Tracker, Tax Planner)</v>
      </c>
      <c r="D10" s="14" t="str">
        <f aca="false">INDEX('Parity Tracker'!$B$2:$B$255,MATCH($B10,'Parity Tracker'!$A$2:$A$255,0))</f>
        <v>Trackers &amp; planners</v>
      </c>
      <c r="E10" s="14" t="str">
        <f aca="false">INDEX('Parity Tracker'!$F$2:$F$255,MATCH($B10,'Parity Tracker'!$A$2:$A$255,0))</f>
        <v>P1</v>
      </c>
      <c r="F10" s="14" t="str">
        <f aca="false">INDEX('Parity Tracker'!$G$2:$G$255,MATCH($B10,'Parity Tracker'!$A$2:$A$255,0))</f>
        <v>L</v>
      </c>
      <c r="G10" s="14" t="str">
        <f aca="false">INDEX('Parity Tracker'!$E$2:$E$255,MATCH($B10,'Parity Tracker'!$A$2:$A$255,0))</f>
        <v>Done</v>
      </c>
      <c r="H10" s="14" t="str">
        <f aca="false">INDEX('Parity Tracker'!$J$2:$J$255,MATCH($B10,'Parity Tracker'!$A$2:$A$255,0))</f>
        <v>Savings tracker (headroom per section) and the full Tax Planner (both regimes with surcharge, HRA, 80C/80D/NPS/24(b), LTCG/STCG, action list); parity-tested vs js/finos-tax-calc.js. Web surcharge fixed in the same pass (taxable income, new-regime top rate 25%).</v>
      </c>
    </row>
    <row r="11" customFormat="false" ht="15" hidden="false" customHeight="true" outlineLevel="0" collapsed="false">
      <c r="A11" s="14" t="n">
        <v>5</v>
      </c>
      <c r="B11" s="14" t="s">
        <v>166</v>
      </c>
      <c r="C11" s="14" t="str">
        <f aca="false">INDEX('Parity Tracker'!$C$2:$C$255,MATCH($B11,'Parity Tracker'!$A$2:$A$255,0))</f>
        <v>Salary Optimizer (CTC restructure)</v>
      </c>
      <c r="D11" s="14" t="str">
        <f aca="false">INDEX('Parity Tracker'!$B$2:$B$255,MATCH($B11,'Parity Tracker'!$A$2:$A$255,0))</f>
        <v>Trackers &amp; planners</v>
      </c>
      <c r="E11" s="14" t="str">
        <f aca="false">INDEX('Parity Tracker'!$F$2:$F$255,MATCH($B11,'Parity Tracker'!$A$2:$A$255,0))</f>
        <v>P1</v>
      </c>
      <c r="F11" s="14" t="str">
        <f aca="false">INDEX('Parity Tracker'!$G$2:$G$255,MATCH($B11,'Parity Tracker'!$A$2:$A$255,0))</f>
        <v>M</v>
      </c>
      <c r="G11" s="14" t="str">
        <f aca="false">INDEX('Parity Tracker'!$E$2:$E$255,MATCH($B11,'Parity Tracker'!$A$2:$A$255,0))</f>
        <v>Done</v>
      </c>
      <c r="H11" s="14" t="str">
        <f aca="false">INDEX('Parity Tracker'!$J$2:$J$255,MATCH($B11,'Parity Tracker'!$A$2:$A$255,0))</f>
        <v>CTC breakup → gross, HRA three-way minimum, tax in both regimes, take-home, restructuring tips; parity-tested. Take-home becomes income only on tap (the website overwrites finos_monthly_income on every render).</v>
      </c>
    </row>
    <row r="12" customFormat="false" ht="15" hidden="false" customHeight="true" outlineLevel="0" collapsed="false">
      <c r="A12" s="14" t="n">
        <v>6</v>
      </c>
      <c r="B12" s="14" t="s">
        <v>171</v>
      </c>
      <c r="C12" s="14" t="str">
        <f aca="false">INDEX('Parity Tracker'!$C$2:$C$255,MATCH($B12,'Parity Tracker'!$A$2:$A$255,0))</f>
        <v>SIP Step-Up Planner</v>
      </c>
      <c r="D12" s="14" t="str">
        <f aca="false">INDEX('Parity Tracker'!$B$2:$B$255,MATCH($B12,'Parity Tracker'!$A$2:$A$255,0))</f>
        <v>Trackers &amp; planners</v>
      </c>
      <c r="E12" s="14" t="str">
        <f aca="false">INDEX('Parity Tracker'!$F$2:$F$255,MATCH($B12,'Parity Tracker'!$A$2:$A$255,0))</f>
        <v>P1</v>
      </c>
      <c r="F12" s="14" t="str">
        <f aca="false">INDEX('Parity Tracker'!$G$2:$G$255,MATCH($B12,'Parity Tracker'!$A$2:$A$255,0))</f>
        <v>S</v>
      </c>
      <c r="G12" s="14" t="str">
        <f aca="false">INDEX('Parity Tracker'!$E$2:$E$255,MATCH($B12,'Parity Tracker'!$A$2:$A$255,0))</f>
        <v>Done</v>
      </c>
      <c r="H12" s="14" t="str">
        <f aca="false">INDEX('Parity Tracker'!$J$2:$J$255,MATCH($B12,'Parity Tracker'!$A$2:$A$255,0))</f>
        <v>Flat vs stepped-up SIP, scenario cards (5/10/15/20%), corpus chart, year table, milestones; parity-tested vs js/finos-sip-stepup.js incl. out-of-range inputs</v>
      </c>
    </row>
    <row r="13" customFormat="false" ht="15" hidden="false" customHeight="true" outlineLevel="0" collapsed="false">
      <c r="A13" s="14" t="n">
        <v>7</v>
      </c>
      <c r="B13" s="14" t="s">
        <v>69</v>
      </c>
      <c r="C13" s="14" t="str">
        <f aca="false">INDEX('Parity Tracker'!$C$2:$C$255,MATCH($B13,'Parity Tracker'!$A$2:$A$255,0))</f>
        <v>Debt Optimizer (avalanche / snowball)</v>
      </c>
      <c r="D13" s="14" t="str">
        <f aca="false">INDEX('Parity Tracker'!$B$2:$B$255,MATCH($B13,'Parity Tracker'!$A$2:$A$255,0))</f>
        <v>Trackers &amp; planners</v>
      </c>
      <c r="E13" s="14" t="str">
        <f aca="false">INDEX('Parity Tracker'!$F$2:$F$255,MATCH($B13,'Parity Tracker'!$A$2:$A$255,0))</f>
        <v>P1</v>
      </c>
      <c r="F13" s="14" t="str">
        <f aca="false">INDEX('Parity Tracker'!$G$2:$G$255,MATCH($B13,'Parity Tracker'!$A$2:$A$255,0))</f>
        <v>M</v>
      </c>
      <c r="G13" s="14" t="str">
        <f aca="false">INDEX('Parity Tracker'!$E$2:$E$255,MATCH($B13,'Parity Tracker'!$A$2:$A$255,0))</f>
        <v>Done</v>
      </c>
      <c r="H13" s="14" t="str">
        <f aca="false">INDEX('Parity Tracker'!$J$2:$J$255,MATCH($B13,'Parity Tracker'!$A$2:$A$255,0))</f>
        <v>Avalanche vs snowball + home-loan prepayment impact; shares balances with Net Worth; parity-tested vs js/finos-debt-optimizer.js</v>
      </c>
    </row>
    <row r="14" customFormat="false" ht="15" hidden="false" customHeight="true" outlineLevel="0" collapsed="false">
      <c r="A14" s="14" t="n">
        <v>8</v>
      </c>
      <c r="B14" s="14" t="s">
        <v>107</v>
      </c>
      <c r="C14" s="14" t="str">
        <f aca="false">INDEX('Parity Tracker'!$C$2:$C$255,MATCH($B14,'Parity Tracker'!$A$2:$A$255,0))</f>
        <v>Home Loan EMI Planner</v>
      </c>
      <c r="D14" s="14" t="str">
        <f aca="false">INDEX('Parity Tracker'!$B$2:$B$255,MATCH($B14,'Parity Tracker'!$A$2:$A$255,0))</f>
        <v>Trackers &amp; planners</v>
      </c>
      <c r="E14" s="14" t="str">
        <f aca="false">INDEX('Parity Tracker'!$F$2:$F$255,MATCH($B14,'Parity Tracker'!$A$2:$A$255,0))</f>
        <v>P1</v>
      </c>
      <c r="F14" s="14" t="str">
        <f aca="false">INDEX('Parity Tracker'!$G$2:$G$255,MATCH($B14,'Parity Tracker'!$A$2:$A$255,0))</f>
        <v>M</v>
      </c>
      <c r="G14" s="14" t="str">
        <f aca="false">INDEX('Parity Tracker'!$E$2:$E$255,MATCH($B14,'Parity Tracker'!$A$2:$A$255,0))</f>
        <v>Done</v>
      </c>
      <c r="H14" s="14" t="str">
        <f aca="false">INDEX('Parity Tracker'!$J$2:$J$255,MATCH($B14,'Parity Tracker'!$A$2:$A$255,0))</f>
        <v>EMI, amortisation, affordability, 24(b)/80C deductions, prepayment impact; parity-tested. Website's PMAY-CLSS 'eligible' banner deliberately not ported (scheme bands ended); writes loan keys only on 'Save as my home loan'.</v>
      </c>
    </row>
    <row r="15" customFormat="false" ht="15" hidden="false" customHeight="true" outlineLevel="0" collapsed="false">
      <c r="A15" s="14" t="n">
        <v>9</v>
      </c>
      <c r="B15" s="14" t="s">
        <v>82</v>
      </c>
      <c r="C15" s="14" t="str">
        <f aca="false">INDEX('Parity Tracker'!$C$2:$C$255,MATCH($B15,'Parity Tracker'!$A$2:$A$255,0))</f>
        <v>Fixed Income (FD) Tracker</v>
      </c>
      <c r="D15" s="14" t="str">
        <f aca="false">INDEX('Parity Tracker'!$B$2:$B$255,MATCH($B15,'Parity Tracker'!$A$2:$A$255,0))</f>
        <v>Trackers &amp; planners</v>
      </c>
      <c r="E15" s="14" t="str">
        <f aca="false">INDEX('Parity Tracker'!$F$2:$F$255,MATCH($B15,'Parity Tracker'!$A$2:$A$255,0))</f>
        <v>P1</v>
      </c>
      <c r="F15" s="14" t="str">
        <f aca="false">INDEX('Parity Tracker'!$G$2:$G$255,MATCH($B15,'Parity Tracker'!$A$2:$A$255,0))</f>
        <v>M</v>
      </c>
      <c r="G15" s="14" t="str">
        <f aca="false">INDEX('Parity Tracker'!$E$2:$E$255,MATCH($B15,'Parity Tracker'!$A$2:$A$255,0))</f>
        <v>Done</v>
      </c>
      <c r="H15" s="14" t="str">
        <f aca="false">INDEX('Parity Tracker'!$J$2:$J$255,MATCH($B15,'Parity Tracker'!$A$2:$A$255,0))</f>
        <v>FD, RD, PPF, NSC, SCSS, Sukanya, bonds, post office; same finos_fd_portfolio key as the web; parity-tested; RD 0% division guarded</v>
      </c>
    </row>
    <row r="16" customFormat="false" ht="15" hidden="false" customHeight="true" outlineLevel="0" collapsed="false">
      <c r="A16" s="14" t="n">
        <v>10</v>
      </c>
      <c r="B16" s="14" t="s">
        <v>102</v>
      </c>
      <c r="C16" s="14" t="str">
        <f aca="false">INDEX('Parity Tracker'!$C$2:$C$255,MATCH($B16,'Parity Tracker'!$A$2:$A$255,0))</f>
        <v>Gold Tracker</v>
      </c>
      <c r="D16" s="14" t="str">
        <f aca="false">INDEX('Parity Tracker'!$B$2:$B$255,MATCH($B16,'Parity Tracker'!$A$2:$A$255,0))</f>
        <v>Trackers &amp; planners</v>
      </c>
      <c r="E16" s="14" t="str">
        <f aca="false">INDEX('Parity Tracker'!$F$2:$F$255,MATCH($B16,'Parity Tracker'!$A$2:$A$255,0))</f>
        <v>P1</v>
      </c>
      <c r="F16" s="14" t="str">
        <f aca="false">INDEX('Parity Tracker'!$G$2:$G$255,MATCH($B16,'Parity Tracker'!$A$2:$A$255,0))</f>
        <v>M</v>
      </c>
      <c r="G16" s="14" t="str">
        <f aca="false">INDEX('Parity Tracker'!$E$2:$E$255,MATCH($B16,'Parity Tracker'!$A$2:$A$255,0))</f>
        <v>Done</v>
      </c>
      <c r="H16" s="14" t="str">
        <f aca="false">INDEX('Parity Tracker'!$J$2:$J$255,MATCH($B16,'Parity Tracker'!$A$2:$A$255,0))</f>
        <v>Physical, SGB, gold ETF, gold MF; user-typed price only (no invented rate); coupon; parity-tested vs js/finos-gold-tracker.js</v>
      </c>
    </row>
    <row r="17" customFormat="false" ht="15" hidden="false" customHeight="true" outlineLevel="0" collapsed="false">
      <c r="A17" s="14" t="n">
        <v>11</v>
      </c>
      <c r="B17" s="14" t="s">
        <v>87</v>
      </c>
      <c r="C17" s="14" t="str">
        <f aca="false">INDEX('Parity Tracker'!$C$2:$C$255,MATCH($B17,'Parity Tracker'!$A$2:$A$255,0))</f>
        <v>Financial Calendar (+ reminders)</v>
      </c>
      <c r="D17" s="14" t="str">
        <f aca="false">INDEX('Parity Tracker'!$B$2:$B$255,MATCH($B17,'Parity Tracker'!$A$2:$A$255,0))</f>
        <v>Trackers &amp; planners</v>
      </c>
      <c r="E17" s="14" t="str">
        <f aca="false">INDEX('Parity Tracker'!$F$2:$F$255,MATCH($B17,'Parity Tracker'!$A$2:$A$255,0))</f>
        <v>P1</v>
      </c>
      <c r="F17" s="14" t="str">
        <f aca="false">INDEX('Parity Tracker'!$G$2:$G$255,MATCH($B17,'Parity Tracker'!$A$2:$A$255,0))</f>
        <v>L</v>
      </c>
      <c r="G17" s="14" t="str">
        <f aca="false">INDEX('Parity Tracker'!$E$2:$E$255,MATCH($B17,'Parity Tracker'!$A$2:$A$255,0))</f>
        <v>Partial</v>
      </c>
      <c r="H17" s="14" t="str">
        <f aca="false">INDEX('Parity Tracker'!$J$2:$J$255,MATCH($B17,'Parity Tracker'!$A$2:$A$255,0))</f>
        <v>Month grid, day detail, coming-up list, summary cards: SIP, deposit maturities (real terms), insurance, goals, subscriptions, tax dates; parity-tested. Phone notifications NOT built: need an OS notification permission, which the privacy guard test currently forbids (owner decision).</v>
      </c>
    </row>
    <row r="18" customFormat="false" ht="15" hidden="false" customHeight="true" outlineLevel="0" collapsed="false">
      <c r="A18" s="14" t="n">
        <v>12</v>
      </c>
      <c r="B18" s="14" t="s">
        <v>196</v>
      </c>
      <c r="C18" s="14" t="str">
        <f aca="false">INDEX('Parity Tracker'!$C$2:$C$255,MATCH($B18,'Parity Tracker'!$A$2:$A$255,0))</f>
        <v>Future Loss / System Leak</v>
      </c>
      <c r="D18" s="14" t="str">
        <f aca="false">INDEX('Parity Tracker'!$B$2:$B$255,MATCH($B18,'Parity Tracker'!$A$2:$A$255,0))</f>
        <v>Trackers &amp; planners</v>
      </c>
      <c r="E18" s="14" t="str">
        <f aca="false">INDEX('Parity Tracker'!$F$2:$F$255,MATCH($B18,'Parity Tracker'!$A$2:$A$255,0))</f>
        <v>P1</v>
      </c>
      <c r="F18" s="14" t="str">
        <f aca="false">INDEX('Parity Tracker'!$G$2:$G$255,MATCH($B18,'Parity Tracker'!$A$2:$A$255,0))</f>
        <v>M</v>
      </c>
      <c r="G18" s="14" t="str">
        <f aca="false">INDEX('Parity Tracker'!$E$2:$E$255,MATCH($B18,'Parity Tracker'!$A$2:$A$255,0))</f>
        <v>Done</v>
      </c>
      <c r="H18" s="14" t="str">
        <f aca="false">INDEX('Parity Tracker'!$J$2:$J$255,MATCH($B18,'Parity Tracker'!$A$2:$A$255,0))</f>
        <v>Monthly leak from the ledger + subscriptions, 10/20/30-year future value, redirect share; parity-tested vs js/finos-leak.js</v>
      </c>
    </row>
    <row r="19" customFormat="false" ht="15" hidden="false" customHeight="true" outlineLevel="0" collapsed="false">
      <c r="A19" s="14" t="n">
        <v>13</v>
      </c>
      <c r="B19" s="14" t="s">
        <v>885</v>
      </c>
      <c r="C19" s="14" t="str">
        <f aca="false">INDEX('Parity Tracker'!$C$2:$C$255,MATCH($B19,'Parity Tracker'!$A$2:$A$255,0))</f>
        <v>Portfolio: broker holdings CSV import (Zerodha / Groww)</v>
      </c>
      <c r="D19" s="14" t="str">
        <f aca="false">INDEX('Parity Tracker'!$B$2:$B$255,MATCH($B19,'Parity Tracker'!$A$2:$A$255,0))</f>
        <v>Portfolio &amp; standalone apps</v>
      </c>
      <c r="E19" s="14" t="str">
        <f aca="false">INDEX('Parity Tracker'!$F$2:$F$255,MATCH($B19,'Parity Tracker'!$A$2:$A$255,0))</f>
        <v>P1</v>
      </c>
      <c r="F19" s="14" t="str">
        <f aca="false">INDEX('Parity Tracker'!$G$2:$G$255,MATCH($B19,'Parity Tracker'!$A$2:$A$255,0))</f>
        <v>M</v>
      </c>
      <c r="G19" s="14" t="str">
        <f aca="false">INDEX('Parity Tracker'!$E$2:$E$255,MATCH($B19,'Parity Tracker'!$A$2:$A$255,0))</f>
        <v>Done</v>
      </c>
      <c r="H19" s="14" t="str">
        <f aca="false">INDEX('Parity Tracker'!$J$2:$J$255,MATCH($B19,'Parity Tracker'!$A$2:$A$255,0))</f>
        <v>Zerodha / Groww / generic CSV parsed identically to js/finos-import.js; rows become Portfolio holdings (replace units + avg cost, never add twice); holdings with no ticker/scheme code keep the broker price. CAS PDF import (S-03) still needs the document-ai backend.</v>
      </c>
    </row>
    <row r="20" customFormat="false" ht="15" hidden="false" customHeight="true" outlineLevel="0" collapsed="false">
      <c r="A20" s="14" t="n">
        <v>14</v>
      </c>
      <c r="B20" s="14" t="s">
        <v>945</v>
      </c>
      <c r="C20" s="14" t="str">
        <f aca="false">INDEX('Parity Tracker'!$C$2:$C$255,MATCH($B20,'Parity Tracker'!$A$2:$A$255,0))</f>
        <v>Arya: safety guardrails on advice prompts</v>
      </c>
      <c r="D20" s="14" t="str">
        <f aca="false">INDEX('Parity Tracker'!$B$2:$B$255,MATCH($B20,'Parity Tracker'!$A$2:$A$255,0))</f>
        <v>Arya AI</v>
      </c>
      <c r="E20" s="14" t="str">
        <f aca="false">INDEX('Parity Tracker'!$F$2:$F$255,MATCH($B20,'Parity Tracker'!$A$2:$A$255,0))</f>
        <v>P1</v>
      </c>
      <c r="F20" s="14" t="str">
        <f aca="false">INDEX('Parity Tracker'!$G$2:$G$255,MATCH($B20,'Parity Tracker'!$A$2:$A$255,0))</f>
        <v>S</v>
      </c>
      <c r="G20" s="14" t="str">
        <f aca="false">INDEX('Parity Tracker'!$E$2:$E$255,MATCH($B20,'Parity Tracker'!$A$2:$A$255,0))</f>
        <v>Done</v>
      </c>
      <c r="H20" s="14" t="str">
        <f aca="false">INDEX('Parity Tracker'!$J$2:$J$255,MATCH($B20,'Parity Tracker'!$A$2:$A$255,0))</f>
        <v>Same rules and wording as js/arya-guardrails.js (parity-tested on 420+ pairs); tax-evasion requests are refused on the phone before any network call; notes are appended to finished or stopped answers.</v>
      </c>
    </row>
    <row r="22" customFormat="false" ht="15" hidden="false" customHeight="true" outlineLevel="0" collapsed="false">
      <c r="A22" s="3" t="s">
        <v>1074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4" min="3" style="1" width="70"/>
    <col collapsed="false" customWidth="true" hidden="false" outlineLevel="0" max="5" min="5" style="1" width="12"/>
  </cols>
  <sheetData>
    <row r="1" customFormat="false" ht="15" hidden="false" customHeight="true" outlineLevel="0" collapsed="false">
      <c r="A1" s="15" t="s">
        <v>1075</v>
      </c>
      <c r="B1" s="15" t="s">
        <v>1076</v>
      </c>
      <c r="C1" s="15" t="s">
        <v>1077</v>
      </c>
      <c r="D1" s="15" t="s">
        <v>1078</v>
      </c>
      <c r="E1" s="15" t="s">
        <v>1079</v>
      </c>
    </row>
    <row r="2" customFormat="false" ht="15" hidden="false" customHeight="true" outlineLevel="0" collapsed="false">
      <c r="A2" s="14" t="s">
        <v>1080</v>
      </c>
      <c r="B2" s="14" t="s">
        <v>1081</v>
      </c>
      <c r="C2" s="14" t="s">
        <v>1082</v>
      </c>
      <c r="D2" s="14" t="s">
        <v>1083</v>
      </c>
      <c r="E2" s="14" t="s">
        <v>1084</v>
      </c>
    </row>
    <row r="3" customFormat="false" ht="15" hidden="false" customHeight="true" outlineLevel="0" collapsed="false">
      <c r="A3" s="14" t="s">
        <v>1085</v>
      </c>
      <c r="B3" s="14" t="s">
        <v>1086</v>
      </c>
      <c r="C3" s="14" t="s">
        <v>1087</v>
      </c>
      <c r="D3" s="14" t="s">
        <v>1088</v>
      </c>
      <c r="E3" s="14" t="s">
        <v>1089</v>
      </c>
    </row>
    <row r="4" customFormat="false" ht="23.25" hidden="false" customHeight="true" outlineLevel="0" collapsed="false">
      <c r="A4" s="14" t="s">
        <v>1085</v>
      </c>
      <c r="B4" s="14" t="s">
        <v>1090</v>
      </c>
      <c r="C4" s="14" t="s">
        <v>1091</v>
      </c>
      <c r="D4" s="14" t="s">
        <v>1092</v>
      </c>
      <c r="E4" s="14" t="s">
        <v>1089</v>
      </c>
    </row>
    <row r="5" customFormat="false" ht="15" hidden="false" customHeight="true" outlineLevel="0" collapsed="false">
      <c r="A5" s="14" t="s">
        <v>47</v>
      </c>
      <c r="B5" s="14" t="s">
        <v>201</v>
      </c>
      <c r="C5" s="14" t="s">
        <v>1093</v>
      </c>
      <c r="D5" s="14" t="s">
        <v>1094</v>
      </c>
      <c r="E5" s="14" t="s">
        <v>1095</v>
      </c>
    </row>
    <row r="6" customFormat="false" ht="15" hidden="false" customHeight="true" outlineLevel="0" collapsed="false">
      <c r="A6" s="14" t="s">
        <v>47</v>
      </c>
      <c r="B6" s="14" t="s">
        <v>191</v>
      </c>
      <c r="C6" s="14" t="s">
        <v>1096</v>
      </c>
      <c r="D6" s="14" t="s">
        <v>1097</v>
      </c>
      <c r="E6" s="14" t="s">
        <v>1098</v>
      </c>
    </row>
    <row r="7" customFormat="false" ht="23.25" hidden="false" customHeight="true" outlineLevel="0" collapsed="false">
      <c r="A7" s="14" t="s">
        <v>47</v>
      </c>
      <c r="B7" s="14" t="s">
        <v>1099</v>
      </c>
      <c r="C7" s="14" t="s">
        <v>1100</v>
      </c>
      <c r="D7" s="14" t="s">
        <v>1101</v>
      </c>
      <c r="E7" s="14" t="s">
        <v>1102</v>
      </c>
    </row>
    <row r="8" customFormat="false" ht="23.25" hidden="false" customHeight="true" outlineLevel="0" collapsed="false">
      <c r="A8" s="14" t="s">
        <v>47</v>
      </c>
      <c r="B8" s="14" t="s">
        <v>161</v>
      </c>
      <c r="C8" s="14" t="s">
        <v>1103</v>
      </c>
      <c r="D8" s="14" t="s">
        <v>1104</v>
      </c>
      <c r="E8" s="14" t="s">
        <v>1105</v>
      </c>
    </row>
    <row r="9" customFormat="false" ht="34.5" hidden="false" customHeight="true" outlineLevel="0" collapsed="false">
      <c r="A9" s="14" t="s">
        <v>47</v>
      </c>
      <c r="B9" s="14" t="s">
        <v>1106</v>
      </c>
      <c r="C9" s="14" t="s">
        <v>1107</v>
      </c>
      <c r="D9" s="14" t="s">
        <v>1108</v>
      </c>
      <c r="E9" s="14" t="s">
        <v>1109</v>
      </c>
    </row>
    <row r="10" customFormat="false" ht="23.25" hidden="false" customHeight="true" outlineLevel="0" collapsed="false">
      <c r="A10" s="14" t="s">
        <v>47</v>
      </c>
      <c r="B10" s="14" t="s">
        <v>1110</v>
      </c>
      <c r="C10" s="14" t="s">
        <v>1111</v>
      </c>
      <c r="D10" s="14" t="s">
        <v>1112</v>
      </c>
      <c r="E10" s="14" t="s">
        <v>1113</v>
      </c>
    </row>
    <row r="11" customFormat="false" ht="34.5" hidden="false" customHeight="true" outlineLevel="0" collapsed="false">
      <c r="A11" s="14" t="s">
        <v>47</v>
      </c>
      <c r="B11" s="14" t="s">
        <v>1114</v>
      </c>
      <c r="C11" s="14" t="s">
        <v>1115</v>
      </c>
      <c r="D11" s="14" t="s">
        <v>1116</v>
      </c>
      <c r="E11" s="14" t="s">
        <v>1117</v>
      </c>
    </row>
    <row r="12" customFormat="false" ht="34.5" hidden="false" customHeight="true" outlineLevel="0" collapsed="false">
      <c r="A12" s="14" t="s">
        <v>47</v>
      </c>
      <c r="B12" s="14" t="s">
        <v>1118</v>
      </c>
      <c r="C12" s="14" t="s">
        <v>1119</v>
      </c>
      <c r="D12" s="14" t="s">
        <v>1120</v>
      </c>
      <c r="E12" s="14" t="s">
        <v>1121</v>
      </c>
    </row>
    <row r="13" customFormat="false" ht="23.25" hidden="false" customHeight="true" outlineLevel="0" collapsed="false">
      <c r="A13" s="14" t="s">
        <v>47</v>
      </c>
      <c r="B13" s="14" t="s">
        <v>1122</v>
      </c>
      <c r="C13" s="14" t="s">
        <v>1123</v>
      </c>
      <c r="D13" s="14" t="s">
        <v>1124</v>
      </c>
      <c r="E13" s="14" t="s">
        <v>1121</v>
      </c>
    </row>
    <row r="14" customFormat="false" ht="23.25" hidden="false" customHeight="true" outlineLevel="0" collapsed="false">
      <c r="A14" s="14" t="s">
        <v>47</v>
      </c>
      <c r="B14" s="14" t="s">
        <v>1125</v>
      </c>
      <c r="C14" s="14" t="s">
        <v>1126</v>
      </c>
      <c r="D14" s="14" t="s">
        <v>1127</v>
      </c>
      <c r="E14" s="14" t="s">
        <v>1128</v>
      </c>
    </row>
    <row r="15" customFormat="false" ht="23.25" hidden="false" customHeight="true" outlineLevel="0" collapsed="false">
      <c r="A15" s="14" t="s">
        <v>47</v>
      </c>
      <c r="B15" s="14" t="s">
        <v>1129</v>
      </c>
      <c r="C15" s="14" t="s">
        <v>1130</v>
      </c>
      <c r="D15" s="14" t="s">
        <v>1131</v>
      </c>
      <c r="E15" s="14" t="s">
        <v>1132</v>
      </c>
    </row>
    <row r="16" customFormat="false" ht="23.25" hidden="false" customHeight="true" outlineLevel="0" collapsed="false">
      <c r="A16" s="14" t="s">
        <v>47</v>
      </c>
      <c r="B16" s="14" t="s">
        <v>181</v>
      </c>
      <c r="C16" s="14" t="s">
        <v>1133</v>
      </c>
      <c r="D16" s="14" t="s">
        <v>1134</v>
      </c>
      <c r="E16" s="14" t="s">
        <v>1135</v>
      </c>
    </row>
    <row r="17" customFormat="false" ht="23.25" hidden="false" customHeight="true" outlineLevel="0" collapsed="false">
      <c r="A17" s="14" t="s">
        <v>47</v>
      </c>
      <c r="B17" s="14" t="s">
        <v>143</v>
      </c>
      <c r="C17" s="14" t="s">
        <v>1136</v>
      </c>
      <c r="D17" s="14" t="s">
        <v>1137</v>
      </c>
      <c r="E17" s="14" t="s">
        <v>1138</v>
      </c>
    </row>
    <row r="18" customFormat="false" ht="23.25" hidden="false" customHeight="true" outlineLevel="0" collapsed="false">
      <c r="A18" s="14" t="s">
        <v>47</v>
      </c>
      <c r="B18" s="14" t="s">
        <v>122</v>
      </c>
      <c r="C18" s="14" t="s">
        <v>1139</v>
      </c>
      <c r="D18" s="14" t="s">
        <v>1140</v>
      </c>
      <c r="E18" s="14" t="s">
        <v>1141</v>
      </c>
    </row>
    <row r="19" customFormat="false" ht="23.25" hidden="false" customHeight="true" outlineLevel="0" collapsed="false">
      <c r="A19" s="14" t="s">
        <v>47</v>
      </c>
      <c r="B19" s="14" t="s">
        <v>148</v>
      </c>
      <c r="C19" s="14" t="s">
        <v>1142</v>
      </c>
      <c r="D19" s="14" t="s">
        <v>1143</v>
      </c>
      <c r="E19" s="14" t="s">
        <v>1144</v>
      </c>
    </row>
    <row r="20" customFormat="false" ht="23.25" hidden="false" customHeight="true" outlineLevel="0" collapsed="false">
      <c r="A20" s="14" t="s">
        <v>47</v>
      </c>
      <c r="B20" s="14" t="s">
        <v>117</v>
      </c>
      <c r="C20" s="14" t="s">
        <v>1145</v>
      </c>
      <c r="D20" s="14" t="s">
        <v>1146</v>
      </c>
      <c r="E20" s="14" t="s">
        <v>1147</v>
      </c>
    </row>
    <row r="21" customFormat="false" ht="23.85" hidden="false" customHeight="false" outlineLevel="0" collapsed="false">
      <c r="A21" s="14" t="s">
        <v>47</v>
      </c>
      <c r="B21" s="14" t="s">
        <v>97</v>
      </c>
      <c r="C21" s="14" t="s">
        <v>1148</v>
      </c>
      <c r="D21" s="14" t="s">
        <v>1149</v>
      </c>
      <c r="E21" s="14" t="s">
        <v>1150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0"/>
  </cols>
  <sheetData>
    <row r="1" customFormat="false" ht="15" hidden="false" customHeight="true" outlineLevel="0" collapsed="false">
      <c r="A1" s="15" t="s">
        <v>1151</v>
      </c>
      <c r="B1" s="15" t="s">
        <v>22</v>
      </c>
    </row>
    <row r="2" customFormat="false" ht="23.25" hidden="false" customHeight="true" outlineLevel="0" collapsed="false">
      <c r="A2" s="14" t="s">
        <v>36</v>
      </c>
      <c r="B2" s="14" t="s">
        <v>1152</v>
      </c>
    </row>
    <row r="3" customFormat="false" ht="15" hidden="false" customHeight="true" outlineLevel="0" collapsed="false">
      <c r="A3" s="14" t="s">
        <v>20</v>
      </c>
      <c r="B3" s="14" t="s">
        <v>1153</v>
      </c>
    </row>
    <row r="4" customFormat="false" ht="15" hidden="false" customHeight="true" outlineLevel="0" collapsed="false">
      <c r="A4" s="14" t="s">
        <v>37</v>
      </c>
      <c r="B4" s="14" t="s">
        <v>1154</v>
      </c>
    </row>
    <row r="5" customFormat="false" ht="15" hidden="false" customHeight="true" outlineLevel="0" collapsed="false">
      <c r="A5" s="14" t="s">
        <v>38</v>
      </c>
      <c r="B5" s="14" t="s">
        <v>1155</v>
      </c>
    </row>
    <row r="6" customFormat="false" ht="23.25" hidden="false" customHeight="true" outlineLevel="0" collapsed="false">
      <c r="A6" s="14" t="s">
        <v>1156</v>
      </c>
      <c r="B6" s="14" t="s">
        <v>1157</v>
      </c>
    </row>
    <row r="7" customFormat="false" ht="15" hidden="false" customHeight="true" outlineLevel="0" collapsed="false">
      <c r="A7" s="14" t="s">
        <v>1158</v>
      </c>
      <c r="B7" s="14" t="s">
        <v>1159</v>
      </c>
    </row>
    <row r="8" customFormat="false" ht="15" hidden="false" customHeight="true" outlineLevel="0" collapsed="false">
      <c r="A8" s="14" t="s">
        <v>1160</v>
      </c>
      <c r="B8" s="14" t="s">
        <v>1161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2026-10-11T10:07:52Z</dcterms:created>
  <dc:creator>openpyxl</dc:creator>
  <dc:description/>
  <dc:language>en-US</dc:language>
  <cp:lastModifiedBy/>
  <dcterms:modified xsi:type="dcterms:W3CDTF">2026-10-12T14:59:32Z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